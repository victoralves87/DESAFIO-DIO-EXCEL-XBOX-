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C3CED5C4EC0CF/Documentos/"/>
    </mc:Choice>
  </mc:AlternateContent>
  <xr:revisionPtr revIDLastSave="316" documentId="8_{73DB3E85-6113-42D4-B61C-0CFB1BA850F7}" xr6:coauthVersionLast="47" xr6:coauthVersionMax="47" xr10:uidLastSave="{0DA1DAD4-3095-4C7F-B114-087DDC18E619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chart.v1.0" hidden="1">C̳álculos!$H$3</definedName>
    <definedName name="_xlchart.v1.1" hidden="1">C̳álculos!$I$7:$I$10</definedName>
    <definedName name="_xlchart.v1.2" hidden="1">C̳álculos!$I$7:$I$9</definedName>
    <definedName name="_xlchart.v1.3" hidden="1">C̳álculos!$J$14</definedName>
    <definedName name="_xlchart.v1.4" hidden="1">C̳álculos!$J$6:$J$7</definedName>
    <definedName name="_xlchart.v1.5" hidden="1">C̳álculos!$J$7:$J$10</definedName>
    <definedName name="_xlchart.v1.6" hidden="1">C̳álculos!$J$7:$J$9</definedName>
    <definedName name="_xlchart.v1.7" hidden="1">C̳álculos!$J$14</definedName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G35" i="3"/>
  <c r="G24" i="3"/>
</calcChain>
</file>

<file path=xl/sharedStrings.xml><?xml version="1.0" encoding="utf-8"?>
<sst xmlns="http://schemas.openxmlformats.org/spreadsheetml/2006/main" count="2026" uniqueCount="323">
  <si>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</si>
  <si>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</si>
  <si>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</si>
  <si>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</si>
  <si>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</si>
  <si>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</si>
  <si>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</si>
  <si>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</si>
  <si>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</si>
  <si>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</si>
  <si>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</si>
  <si>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</si>
  <si>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</si>
  <si>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</si>
  <si>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</si>
  <si>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</si>
  <si>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</si>
  <si>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</si>
  <si>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</si>
  <si>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</si>
  <si>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</si>
  <si>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</si>
  <si>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</si>
  <si>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</si>
  <si>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</si>
  <si>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</si>
  <si>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</si>
  <si>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</si>
  <si>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</si>
  <si>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</si>
  <si>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</si>
  <si>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</si>
  <si>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</si>
  <si>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</si>
  <si>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</si>
  <si>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</si>
  <si>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</si>
  <si>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</si>
  <si>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</si>
  <si>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</si>
  <si>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</si>
  <si>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</si>
  <si>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</si>
  <si>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</si>
  <si>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</si>
  <si>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</si>
  <si>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</si>
  <si>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</si>
  <si>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</si>
  <si>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</si>
  <si>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</si>
  <si>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</si>
  <si>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</si>
  <si>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</si>
  <si>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</si>
  <si>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</si>
  <si>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</si>
  <si>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</si>
  <si>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</si>
  <si>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</si>
  <si>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</si>
  <si>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</si>
  <si>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</si>
  <si>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</si>
  <si>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</si>
  <si>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</si>
  <si>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</si>
  <si>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</si>
  <si>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</si>
  <si>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</si>
  <si>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</si>
  <si>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</si>
  <si>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</si>
  <si>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</si>
  <si>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</si>
  <si>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</si>
  <si>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</si>
  <si>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</si>
  <si>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</si>
  <si>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</si>
  <si>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</si>
  <si>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</si>
  <si>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</si>
  <si>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</si>
  <si>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</si>
  <si>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</si>
  <si>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</si>
  <si>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</si>
  <si>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</si>
  <si>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</si>
  <si>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</si>
  <si>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</si>
  <si>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</si>
  <si>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</si>
  <si>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</si>
  <si>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</si>
  <si>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</si>
  <si>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</si>
  <si>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</si>
  <si>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</si>
  <si>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</si>
  <si>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</si>
  <si>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</si>
  <si>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</si>
  <si>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</si>
  <si>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</si>
  <si>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</si>
  <si>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</si>
  <si>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</si>
  <si>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</si>
  <si>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</si>
  <si>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</si>
  <si>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</si>
  <si>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</si>
  <si>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</si>
  <si>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</si>
  <si>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</si>
  <si>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</si>
  <si>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</si>
  <si>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</si>
  <si>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</si>
  <si>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</si>
  <si>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</si>
  <si>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</si>
  <si>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</si>
  <si>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</si>
  <si>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</si>
  <si>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</si>
  <si>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</si>
  <si>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</si>
  <si>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</si>
  <si>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</si>
  <si>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</si>
  <si>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</si>
  <si>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</si>
  <si>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</si>
  <si>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</si>
  <si>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</si>
  <si>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</si>
  <si>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</si>
  <si>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</si>
  <si>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</si>
  <si>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</si>
  <si>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</si>
  <si>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</si>
  <si>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</si>
  <si>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</si>
  <si>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</si>
  <si>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</si>
  <si>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</si>
  <si>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</si>
  <si>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</si>
  <si>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</si>
  <si>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</si>
  <si>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</si>
  <si>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</si>
  <si>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</si>
  <si>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</si>
  <si>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</si>
  <si>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</si>
  <si>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</si>
  <si>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</si>
  <si>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</si>
  <si>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</si>
  <si>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</si>
  <si>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</si>
  <si>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</si>
  <si>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</si>
  <si>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</si>
  <si>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</si>
  <si>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</si>
  <si>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</si>
  <si>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</si>
  <si>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</si>
  <si>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</si>
  <si>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</si>
  <si>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</si>
  <si>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</si>
  <si>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</si>
  <si>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</si>
  <si>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</si>
  <si>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</si>
  <si>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</si>
  <si>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</si>
  <si>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</si>
  <si>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</si>
  <si>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</si>
  <si>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</si>
  <si>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</si>
  <si>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</si>
  <si>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</si>
  <si>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</si>
  <si>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</si>
  <si>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</si>
  <si>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</si>
  <si>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</si>
  <si>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</si>
  <si>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</si>
  <si>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</si>
  <si>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</si>
  <si>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</si>
  <si>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</si>
  <si>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</si>
  <si>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</si>
  <si>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</si>
  <si>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</si>
  <si>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</si>
  <si>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</si>
  <si>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</si>
  <si>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</si>
  <si>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</si>
  <si>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</si>
  <si>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</si>
  <si>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</si>
  <si>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</si>
  <si>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</si>
  <si>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</si>
  <si>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</si>
  <si>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</si>
  <si>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</si>
  <si>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</si>
  <si>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</si>
  <si>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</si>
  <si>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</si>
  <si>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</si>
  <si>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</si>
  <si>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</si>
  <si>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</si>
  <si>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</si>
  <si>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</si>
  <si>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</si>
  <si>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</si>
  <si>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</si>
  <si>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</si>
  <si>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</si>
  <si>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</si>
  <si>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</si>
  <si>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</si>
  <si>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</si>
  <si>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</si>
  <si>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</si>
  <si>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</si>
  <si>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</si>
  <si>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</si>
  <si>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</si>
  <si>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</si>
  <si>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</si>
  <si>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</si>
  <si>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</si>
  <si>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</si>
  <si>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</si>
  <si>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</si>
  <si>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</si>
  <si>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</si>
  <si>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</si>
  <si>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</si>
  <si>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</si>
  <si>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</si>
  <si>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</si>
  <si>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</si>
  <si>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</si>
  <si>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</si>
  <si>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</si>
  <si>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</si>
  <si>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</si>
  <si>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</si>
  <si>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</si>
  <si>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</si>
  <si>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</si>
  <si>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</si>
  <si>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</si>
  <si>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</si>
  <si>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</si>
  <si>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</si>
  <si>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</si>
  <si>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</si>
  <si>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</si>
  <si>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</si>
  <si>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</si>
  <si>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</si>
  <si>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</si>
  <si>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</si>
  <si>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</si>
  <si>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</si>
  <si>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</si>
  <si>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</si>
  <si>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</si>
  <si>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</si>
  <si>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</si>
  <si>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</si>
  <si>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</si>
  <si>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</si>
  <si>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</si>
  <si>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</si>
  <si>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</si>
  <si>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</si>
  <si>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</si>
  <si>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</si>
  <si>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</si>
  <si>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</si>
  <si>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</si>
  <si>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</si>
  <si>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</si>
  <si>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</si>
  <si>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</si>
  <si>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</si>
  <si>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</si>
  <si>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</si>
  <si>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</si>
  <si>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</si>
  <si>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</si>
  <si>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</si>
  <si>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</si>
  <si>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</si>
  <si>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</si>
  <si>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</si>
  <si>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</si>
  <si>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Minecraft Season Pass Price</t>
  </si>
  <si>
    <t>Soma de EA Play Season Pass</t>
  </si>
  <si>
    <t>(Vários itens)</t>
  </si>
  <si>
    <t>Calculation Period: 01/01/2026 - 31/12/2026 | Update date: 26/10/2026 09:00</t>
  </si>
  <si>
    <t>Bem Vindo, Felipão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</si>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</sst>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Border="1"/>
    <xf numFmtId="164" fontId="0" fillId="0" borderId="0" xfId="0" applyNumberFormat="1"/>
    <xf numFmtId="0" fontId="4" fillId="0" borderId="2" xfId="1" applyFont="1" applyBorder="1"/>
    <xf numFmtId="0" fontId="5" fillId="0" borderId="2" xfId="1" applyFont="1" applyBorder="1"/>
    <xf numFmtId="0" fontId="4" fillId="0" borderId="2" xfId="1" applyFont="1" applyBorder="1" applyAlignment="1">
      <alignment horizontal="left" indent="8"/>
    </xf>
    <xf numFmtId="0" fontId="6" fillId="7" borderId="0" xfId="0" applyFont="1" applyFill="1"/>
    <xf numFmtId="0" fontId="7" fillId="4" borderId="0" xfId="0" applyFont="1" applyFill="1" applyAlignment="1">
      <alignment horizontal="center"/>
    </xf>
    <xf numFmtId="0" fontId="0" fillId="0" borderId="0" xfId="0" applyNumberFormat="1"/>
    <xf numFmtId="0" fontId="3" fillId="8" borderId="3" xfId="0" applyFont="1" applyFill="1" applyBorder="1" applyAlignment="1">
      <alignment horizontal="left"/>
    </xf>
    <xf numFmtId="44" fontId="3" fillId="8" borderId="3" xfId="0" applyNumberFormat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09E5B15-0718-4BFC-AEE5-C3B6EADA56E7}">
      <tableStyleElement type="wholeTable" dxfId="15"/>
      <tableStyleElement type="headerRow" dxfId="14"/>
    </tableStyle>
  </tableStyles>
  <colors>
    <mruColors>
      <color rgb="FF22C55E"/>
      <color rgb="FF9BC848"/>
      <color rgb="FF5BF6A8"/>
      <color rgb="FFE8E6E9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[BASE_XBOX.xlsx]C̳álculos!tbl_annual_value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804520770343388"/>
                  <c:h val="0.49938386904813914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872539350938132"/>
                  <c:h val="0.30718676434719117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436625697766927E-2"/>
          <c:y val="5.3623652436994552E-2"/>
          <c:w val="0.92321776434749936"/>
          <c:h val="0.906015996364390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solidFill>
                <a:srgbClr val="22C55E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solidFill>
                  <a:srgbClr val="22C55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277-4B61-83A2-CAFF652DC6CF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solidFill>
                  <a:srgbClr val="22C55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77-4B61-83A2-CAFF652DC6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72539350938132"/>
                      <c:h val="0.307186764347191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277-4B61-83A2-CAFF652DC6C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04520770343388"/>
                      <c:h val="0.499383869048139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277-4B61-83A2-CAFF652DC6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_("R$"* #,##0.00_);_("R$"* \(#,##0.00\);_("R$"* "-"??_);_(@_)</c:formatCode>
                <c:ptCount val="2"/>
                <c:pt idx="0">
                  <c:v>3630</c:v>
                </c:pt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7-4B61-83A2-CAFF652DC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605951"/>
        <c:axId val="1883413775"/>
      </c:barChart>
      <c:catAx>
        <c:axId val="195060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413775"/>
        <c:crosses val="autoZero"/>
        <c:auto val="1"/>
        <c:lblAlgn val="ctr"/>
        <c:lblOffset val="100"/>
        <c:noMultiLvlLbl val="0"/>
      </c:catAx>
      <c:valAx>
        <c:axId val="18834137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5060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211930</xdr:colOff>
      <xdr:row>0</xdr:row>
      <xdr:rowOff>9525</xdr:rowOff>
    </xdr:from>
    <xdr:to>
      <xdr:col>3</xdr:col>
      <xdr:colOff>25872</xdr:colOff>
      <xdr:row>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2B77ED-CB37-4F52-9A15-DC00A0232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704" r="66666" b="-4282"/>
        <a:stretch>
          <a:fillRect/>
        </a:stretch>
      </xdr:blipFill>
      <xdr:spPr>
        <a:xfrm>
          <a:off x="2478880" y="9525"/>
          <a:ext cx="661667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</xdr:colOff>
      <xdr:row>6</xdr:row>
      <xdr:rowOff>345466</xdr:rowOff>
    </xdr:from>
    <xdr:to>
      <xdr:col>0</xdr:col>
      <xdr:colOff>2207559</xdr:colOff>
      <xdr:row>18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0A8254C-AF2A-4E82-94F3-95E96B2B80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859941"/>
              <a:ext cx="2238375" cy="22643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399710</xdr:colOff>
      <xdr:row>4</xdr:row>
      <xdr:rowOff>268740</xdr:rowOff>
    </xdr:from>
    <xdr:to>
      <xdr:col>12</xdr:col>
      <xdr:colOff>71436</xdr:colOff>
      <xdr:row>16</xdr:row>
      <xdr:rowOff>1107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4D358A31-B9BE-4646-E6B0-E8CB5185E500}"/>
            </a:ext>
          </a:extLst>
        </xdr:cNvPr>
        <xdr:cNvGrpSpPr/>
      </xdr:nvGrpSpPr>
      <xdr:grpSpPr>
        <a:xfrm>
          <a:off x="2898622" y="1322093"/>
          <a:ext cx="5554814" cy="2320926"/>
          <a:chOff x="2672103" y="1156606"/>
          <a:chExt cx="5618048" cy="233133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ACD6BE5-A198-1E6B-8066-67FC05CECC36}"/>
              </a:ext>
            </a:extLst>
          </xdr:cNvPr>
          <xdr:cNvSpPr/>
        </xdr:nvSpPr>
        <xdr:spPr>
          <a:xfrm>
            <a:off x="2672103" y="1168513"/>
            <a:ext cx="5618048" cy="1801244"/>
          </a:xfrm>
          <a:prstGeom prst="roundRect">
            <a:avLst>
              <a:gd name="adj" fmla="val 1375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387AB9A-967F-43AF-9A0D-4A990E8F0275}"/>
              </a:ext>
            </a:extLst>
          </xdr:cNvPr>
          <xdr:cNvSpPr/>
        </xdr:nvSpPr>
        <xdr:spPr>
          <a:xfrm>
            <a:off x="4569843" y="1970148"/>
            <a:ext cx="3712025" cy="1517789"/>
          </a:xfrm>
          <a:prstGeom prst="roundRect">
            <a:avLst>
              <a:gd name="adj" fmla="val 1375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8067EFA-C5A4-4D31-BB4D-962829CEA74A}" type="TxLink">
              <a:rPr lang="en-US" sz="4400" b="0" i="0" u="none" strike="noStrike">
                <a:solidFill>
                  <a:srgbClr val="00B050"/>
                </a:solidFill>
                <a:latin typeface="Aptos Narrow"/>
              </a:rPr>
              <a:pPr algn="ctr"/>
              <a:t>R$ 2.340,00</a:t>
            </a:fld>
            <a:endParaRPr lang="en-US" sz="4400">
              <a:solidFill>
                <a:srgbClr val="00B050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B8636EE9-43C9-49AF-8CBF-5BA998F69A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56725" y="1599166"/>
            <a:ext cx="1634559" cy="1629528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7AC67CC0-ACF2-BD06-C96B-6D4C892B1E6E}"/>
              </a:ext>
            </a:extLst>
          </xdr:cNvPr>
          <xdr:cNvSpPr/>
        </xdr:nvSpPr>
        <xdr:spPr>
          <a:xfrm>
            <a:off x="2684007" y="1156606"/>
            <a:ext cx="5582332" cy="629330"/>
          </a:xfrm>
          <a:prstGeom prst="round2SameRect">
            <a:avLst>
              <a:gd name="adj1" fmla="val 16667"/>
              <a:gd name="adj2" fmla="val 7500"/>
            </a:avLst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4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SUBSCRIPTIONS EA PLAY  SEASON PASS</a:t>
            </a:r>
            <a:endParaRPr lang="pt-BR" sz="14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57886</xdr:colOff>
      <xdr:row>4</xdr:row>
      <xdr:rowOff>268740</xdr:rowOff>
    </xdr:from>
    <xdr:to>
      <xdr:col>22</xdr:col>
      <xdr:colOff>409795</xdr:colOff>
      <xdr:row>14</xdr:row>
      <xdr:rowOff>178001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2C7544E7-D131-4287-C4CD-55584CCF8A69}"/>
            </a:ext>
          </a:extLst>
        </xdr:cNvPr>
        <xdr:cNvGrpSpPr/>
      </xdr:nvGrpSpPr>
      <xdr:grpSpPr>
        <a:xfrm>
          <a:off x="9045004" y="1322093"/>
          <a:ext cx="5797967" cy="2116820"/>
          <a:chOff x="9667191" y="1404256"/>
          <a:chExt cx="5870006" cy="212722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B5051680-15A1-4EF3-80EF-A0019B466373}"/>
              </a:ext>
            </a:extLst>
          </xdr:cNvPr>
          <xdr:cNvGrpSpPr/>
        </xdr:nvGrpSpPr>
        <xdr:grpSpPr>
          <a:xfrm>
            <a:off x="9667191" y="1404256"/>
            <a:ext cx="5870006" cy="2127225"/>
            <a:chOff x="2588756" y="1415141"/>
            <a:chExt cx="5870006" cy="212722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44EF4E2E-9172-0235-CC1B-54472B27A6CF}"/>
                </a:ext>
              </a:extLst>
            </xdr:cNvPr>
            <xdr:cNvSpPr/>
          </xdr:nvSpPr>
          <xdr:spPr>
            <a:xfrm>
              <a:off x="2590461" y="1454263"/>
              <a:ext cx="5618048" cy="1801244"/>
            </a:xfrm>
            <a:prstGeom prst="roundRect">
              <a:avLst>
                <a:gd name="adj" fmla="val 1375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35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60257F6D-2661-8BE9-AEDD-A588B83B4273}"/>
                </a:ext>
              </a:extLst>
            </xdr:cNvPr>
            <xdr:cNvSpPr/>
          </xdr:nvSpPr>
          <xdr:spPr>
            <a:xfrm>
              <a:off x="4746737" y="2024577"/>
              <a:ext cx="3712025" cy="1517789"/>
            </a:xfrm>
            <a:prstGeom prst="roundRect">
              <a:avLst>
                <a:gd name="adj" fmla="val 5000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141F0FC5-45B0-4777-B495-E4E86FB39037}" type="TxLink">
                <a:rPr lang="en-US" sz="4400" b="0" i="0" u="none" strike="noStrike">
                  <a:solidFill>
                    <a:srgbClr val="00B050"/>
                  </a:solidFill>
                  <a:latin typeface="Aptos Narrow"/>
                </a:rPr>
                <a:pPr algn="ctr"/>
                <a:t>R$ 2.940,00</a:t>
              </a:fld>
              <a:endParaRPr lang="en-US" sz="4400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370F93CA-23BB-3684-9ABC-D49FD58871F9}"/>
                </a:ext>
              </a:extLst>
            </xdr:cNvPr>
            <xdr:cNvSpPr/>
          </xdr:nvSpPr>
          <xdr:spPr>
            <a:xfrm>
              <a:off x="2588756" y="1415141"/>
              <a:ext cx="5613629" cy="582387"/>
            </a:xfrm>
            <a:prstGeom prst="round2SameRect">
              <a:avLst>
                <a:gd name="adj1" fmla="val 16667"/>
                <a:gd name="adj2" fmla="val 9662"/>
              </a:avLst>
            </a:prstGeom>
            <a:solidFill>
              <a:srgbClr val="00B05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 Light" panose="020B0502040204020203" pitchFamily="34" charset="0"/>
                  <a:cs typeface="Segoe UI Light" panose="020B0502040204020203" pitchFamily="34" charset="0"/>
                </a:rPr>
                <a:t>TOTAL</a:t>
              </a:r>
              <a:r>
                <a:rPr lang="pt-BR" sz="1400" b="1" baseline="0">
                  <a:latin typeface="Segoe UI Light" panose="020B0502040204020203" pitchFamily="34" charset="0"/>
                  <a:cs typeface="Segoe UI Light" panose="020B0502040204020203" pitchFamily="34" charset="0"/>
                </a:rPr>
                <a:t> SUBSCRIPTIONS EA PLAY  SEASON PASS</a:t>
              </a:r>
              <a:endParaRPr lang="pt-BR" sz="1400" b="1">
                <a:latin typeface="Segoe UI Light" panose="020B0502040204020203" pitchFamily="34" charset="0"/>
                <a:cs typeface="Segoe UI Light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147C8395-611D-440D-B1E0-6E791D0ED6E2}"/>
              </a:ext>
            </a:extLst>
          </xdr:cNvPr>
          <xdr:cNvGrpSpPr/>
        </xdr:nvGrpSpPr>
        <xdr:grpSpPr>
          <a:xfrm>
            <a:off x="9952942" y="2152649"/>
            <a:ext cx="1549476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1598879-12CA-826A-61C6-63ABEC01D1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AE8CA200-1FFE-ABF6-8545-2A02128728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</xdr:col>
      <xdr:colOff>563594</xdr:colOff>
      <xdr:row>17</xdr:row>
      <xdr:rowOff>52726</xdr:rowOff>
    </xdr:from>
    <xdr:to>
      <xdr:col>27</xdr:col>
      <xdr:colOff>573100</xdr:colOff>
      <xdr:row>34</xdr:row>
      <xdr:rowOff>152081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7570791B-8E4A-87AD-5C07-AB62300755F8}"/>
            </a:ext>
          </a:extLst>
        </xdr:cNvPr>
        <xdr:cNvGrpSpPr/>
      </xdr:nvGrpSpPr>
      <xdr:grpSpPr>
        <a:xfrm>
          <a:off x="5482976" y="3885138"/>
          <a:ext cx="12548889" cy="3337855"/>
          <a:chOff x="2625476" y="3896344"/>
          <a:chExt cx="12548889" cy="333785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6C1AA4A2-123C-D40F-2A55-F6DFA884A9C4}"/>
              </a:ext>
            </a:extLst>
          </xdr:cNvPr>
          <xdr:cNvGrpSpPr/>
        </xdr:nvGrpSpPr>
        <xdr:grpSpPr>
          <a:xfrm>
            <a:off x="2650291" y="3898746"/>
            <a:ext cx="12524074" cy="3335453"/>
            <a:chOff x="3262312" y="1833982"/>
            <a:chExt cx="5048250" cy="2952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2ED4426-1CCF-7A81-8FB1-E2921144E2E7}"/>
                </a:ext>
              </a:extLst>
            </xdr:cNvPr>
            <xdr:cNvSpPr/>
          </xdr:nvSpPr>
          <xdr:spPr>
            <a:xfrm>
              <a:off x="3262312" y="1833982"/>
              <a:ext cx="5048250" cy="2952750"/>
            </a:xfrm>
            <a:prstGeom prst="roundRect">
              <a:avLst>
                <a:gd name="adj" fmla="val 699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7EBF0AC-46E4-424F-A714-CCD9BEEDE64B}"/>
                </a:ext>
              </a:extLst>
            </xdr:cNvPr>
            <xdr:cNvGraphicFramePr>
              <a:graphicFrameLocks/>
            </xdr:cNvGraphicFramePr>
          </xdr:nvGraphicFramePr>
          <xdr:xfrm>
            <a:off x="3353828" y="2510058"/>
            <a:ext cx="4907926" cy="222849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C287FD93-7AA4-41FD-AA55-10DF402A680F}"/>
              </a:ext>
            </a:extLst>
          </xdr:cNvPr>
          <xdr:cNvSpPr/>
        </xdr:nvSpPr>
        <xdr:spPr>
          <a:xfrm>
            <a:off x="2625476" y="3896344"/>
            <a:ext cx="12513670" cy="597214"/>
          </a:xfrm>
          <a:prstGeom prst="round2SameRect">
            <a:avLst>
              <a:gd name="adj1" fmla="val 39815"/>
              <a:gd name="adj2" fmla="val 8520"/>
            </a:avLst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4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SUBSCRIPTIONS XBOX GAME PASS</a:t>
            </a:r>
            <a:endParaRPr lang="pt-BR" sz="14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438151</xdr:colOff>
      <xdr:row>0</xdr:row>
      <xdr:rowOff>85725</xdr:rowOff>
    </xdr:from>
    <xdr:to>
      <xdr:col>0</xdr:col>
      <xdr:colOff>1512795</xdr:colOff>
      <xdr:row>3</xdr:row>
      <xdr:rowOff>235323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F9F4330-70A7-40F5-9882-2AC2E56A88D8}"/>
            </a:ext>
          </a:extLst>
        </xdr:cNvPr>
        <xdr:cNvSpPr/>
      </xdr:nvSpPr>
      <xdr:spPr>
        <a:xfrm>
          <a:off x="438151" y="85725"/>
          <a:ext cx="1074644" cy="95642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247650</xdr:colOff>
      <xdr:row>5</xdr:row>
      <xdr:rowOff>47625</xdr:rowOff>
    </xdr:from>
    <xdr:to>
      <xdr:col>0</xdr:col>
      <xdr:colOff>1933575</xdr:colOff>
      <xdr:row>5</xdr:row>
      <xdr:rowOff>47625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C47E0BBA-3280-C57E-EB83-7052FE5F6BBB}"/>
            </a:ext>
          </a:extLst>
        </xdr:cNvPr>
        <xdr:cNvCxnSpPr/>
      </xdr:nvCxnSpPr>
      <xdr:spPr>
        <a:xfrm>
          <a:off x="247650" y="1438275"/>
          <a:ext cx="1685925" cy="0"/>
        </a:xfrm>
        <a:prstGeom prst="line">
          <a:avLst/>
        </a:prstGeom>
        <a:ln>
          <a:solidFill>
            <a:srgbClr val="9BC84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196225</xdr:colOff>
      <xdr:row>4</xdr:row>
      <xdr:rowOff>213542</xdr:rowOff>
    </xdr:from>
    <xdr:to>
      <xdr:col>32</xdr:col>
      <xdr:colOff>322331</xdr:colOff>
      <xdr:row>14</xdr:row>
      <xdr:rowOff>83870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4A34AD5F-7AA3-3336-6031-FD59A8950CD8}"/>
            </a:ext>
          </a:extLst>
        </xdr:cNvPr>
        <xdr:cNvGrpSpPr/>
      </xdr:nvGrpSpPr>
      <xdr:grpSpPr>
        <a:xfrm>
          <a:off x="15234519" y="1266895"/>
          <a:ext cx="5572165" cy="2077887"/>
          <a:chOff x="2567771" y="1386698"/>
          <a:chExt cx="5641398" cy="2088101"/>
        </a:xfrm>
      </xdr:grpSpPr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2E542B32-E309-DCEB-8D66-70204E165E20}"/>
              </a:ext>
            </a:extLst>
          </xdr:cNvPr>
          <xdr:cNvSpPr/>
        </xdr:nvSpPr>
        <xdr:spPr>
          <a:xfrm>
            <a:off x="2567771" y="1386698"/>
            <a:ext cx="5618048" cy="1801244"/>
          </a:xfrm>
          <a:prstGeom prst="roundRect">
            <a:avLst>
              <a:gd name="adj" fmla="val 1375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3234887B-B0BD-44FA-2838-71C2DCD06F0C}"/>
              </a:ext>
            </a:extLst>
          </xdr:cNvPr>
          <xdr:cNvSpPr/>
        </xdr:nvSpPr>
        <xdr:spPr>
          <a:xfrm>
            <a:off x="4497144" y="1957010"/>
            <a:ext cx="3712025" cy="1517789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4400" b="0" i="0" u="none" strike="noStrike">
                <a:solidFill>
                  <a:srgbClr val="00B050"/>
                </a:solidFill>
                <a:latin typeface="Aptos Narrow"/>
              </a:rPr>
              <a:t>R$ 1646,00</a:t>
            </a:r>
          </a:p>
        </xdr:txBody>
      </xdr:sp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4CFD3FFC-D93C-244E-EA31-16D46BB7E66F}"/>
              </a:ext>
            </a:extLst>
          </xdr:cNvPr>
          <xdr:cNvSpPr/>
        </xdr:nvSpPr>
        <xdr:spPr>
          <a:xfrm>
            <a:off x="2588756" y="1415141"/>
            <a:ext cx="5613629" cy="582387"/>
          </a:xfrm>
          <a:prstGeom prst="round2SameRect">
            <a:avLst>
              <a:gd name="adj1" fmla="val 16667"/>
              <a:gd name="adj2" fmla="val 9662"/>
            </a:avLst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4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CUPONS SOLD</a:t>
            </a:r>
            <a:endParaRPr lang="pt-BR" sz="14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 editAs="oneCell">
    <xdr:from>
      <xdr:col>24</xdr:col>
      <xdr:colOff>22413</xdr:colOff>
      <xdr:row>6</xdr:row>
      <xdr:rowOff>313764</xdr:rowOff>
    </xdr:from>
    <xdr:to>
      <xdr:col>26</xdr:col>
      <xdr:colOff>82482</xdr:colOff>
      <xdr:row>13</xdr:row>
      <xdr:rowOff>35859</xdr:rowOff>
    </xdr:to>
    <xdr:pic>
      <xdr:nvPicPr>
        <xdr:cNvPr id="35" name="Imagem 34" descr="Cupom - ícones de comércio grátis">
          <a:extLst>
            <a:ext uri="{FF2B5EF4-FFF2-40B4-BE49-F238E27FC236}">
              <a16:creationId xmlns:a16="http://schemas.microsoft.com/office/drawing/2014/main" id="{78A4756F-EFE9-A516-AE6B-21029CE7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5825" y="1826558"/>
          <a:ext cx="1270304" cy="1279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alves da silva " refreshedDate="46319.00769583333" createdVersion="8" refreshedVersion="8" minRefreshableVersion="3" recordCount="295" xr:uid="{49C5C024-34E7-4FEC-8AB3-2E827E5822C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29228702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x v="0"/>
  </r>
  <r>
    <n v="3232"/>
    <s v="Maria Oliveira"/>
    <x v="1"/>
    <x v="1"/>
    <x v="1"/>
    <n v="5"/>
    <x v="1"/>
    <s v="No"/>
    <s v="-"/>
    <s v="No"/>
    <n v="0"/>
    <n v="0"/>
    <x v="1"/>
  </r>
  <r>
    <n v="3233"/>
    <s v="Lucas Fernandes"/>
    <x v="2"/>
    <x v="2"/>
    <x v="0"/>
    <n v="10"/>
    <x v="2"/>
    <s v="No"/>
    <s v="-"/>
    <s v="Yes"/>
    <n v="20"/>
    <n v="10"/>
    <x v="2"/>
  </r>
  <r>
    <n v="3234"/>
    <s v="Ana Souza"/>
    <x v="0"/>
    <x v="3"/>
    <x v="1"/>
    <n v="15"/>
    <x v="0"/>
    <s v="Yes"/>
    <n v="30"/>
    <s v="Yes"/>
    <n v="20"/>
    <n v="3"/>
    <x v="3"/>
  </r>
  <r>
    <n v="3235"/>
    <s v="Pedro Gonçalves"/>
    <x v="1"/>
    <x v="4"/>
    <x v="0"/>
    <n v="5"/>
    <x v="0"/>
    <s v="No"/>
    <s v="-"/>
    <s v="No"/>
    <n v="0"/>
    <n v="1"/>
    <x v="4"/>
  </r>
  <r>
    <n v="3236"/>
    <s v="Felipe Costa"/>
    <x v="2"/>
    <x v="5"/>
    <x v="1"/>
    <n v="10"/>
    <x v="0"/>
    <s v="No"/>
    <s v="-"/>
    <s v="Yes"/>
    <n v="20"/>
    <n v="2"/>
    <x v="5"/>
  </r>
  <r>
    <n v="3237"/>
    <s v="Camila Ribeiro"/>
    <x v="0"/>
    <x v="6"/>
    <x v="0"/>
    <n v="15"/>
    <x v="2"/>
    <s v="Yes"/>
    <n v="30"/>
    <s v="Yes"/>
    <n v="20"/>
    <n v="10"/>
    <x v="6"/>
  </r>
  <r>
    <n v="3238"/>
    <s v="André Mendes"/>
    <x v="1"/>
    <x v="7"/>
    <x v="0"/>
    <n v="5"/>
    <x v="1"/>
    <s v="No"/>
    <s v="-"/>
    <s v="No"/>
    <n v="0"/>
    <n v="0"/>
    <x v="1"/>
  </r>
  <r>
    <n v="3239"/>
    <s v="Sofia Almeida"/>
    <x v="0"/>
    <x v="4"/>
    <x v="1"/>
    <n v="15"/>
    <x v="0"/>
    <s v="Yes"/>
    <n v="30"/>
    <s v="Yes"/>
    <n v="20"/>
    <n v="5"/>
    <x v="0"/>
  </r>
  <r>
    <n v="3240"/>
    <s v="Bruno Martins"/>
    <x v="2"/>
    <x v="8"/>
    <x v="0"/>
    <n v="10"/>
    <x v="2"/>
    <s v="No"/>
    <s v="-"/>
    <s v="Yes"/>
    <n v="20"/>
    <n v="15"/>
    <x v="7"/>
  </r>
  <r>
    <n v="3241"/>
    <s v="Rita Castro"/>
    <x v="1"/>
    <x v="9"/>
    <x v="1"/>
    <n v="5"/>
    <x v="0"/>
    <s v="No"/>
    <s v="-"/>
    <s v="No"/>
    <n v="0"/>
    <n v="1"/>
    <x v="4"/>
  </r>
  <r>
    <n v="3242"/>
    <s v="Marco Túlio"/>
    <x v="0"/>
    <x v="10"/>
    <x v="0"/>
    <n v="15"/>
    <x v="1"/>
    <s v="Yes"/>
    <n v="30"/>
    <s v="Yes"/>
    <n v="20"/>
    <n v="20"/>
    <x v="8"/>
  </r>
  <r>
    <n v="3243"/>
    <s v="Lívia Silveira"/>
    <x v="2"/>
    <x v="11"/>
    <x v="1"/>
    <n v="10"/>
    <x v="0"/>
    <s v="No"/>
    <s v="-"/>
    <s v="Yes"/>
    <n v="20"/>
    <n v="10"/>
    <x v="2"/>
  </r>
  <r>
    <n v="3244"/>
    <s v="Diogo Sousa"/>
    <x v="1"/>
    <x v="12"/>
    <x v="0"/>
    <n v="5"/>
    <x v="2"/>
    <s v="No"/>
    <s v="-"/>
    <s v="No"/>
    <n v="0"/>
    <n v="0"/>
    <x v="1"/>
  </r>
  <r>
    <n v="3245"/>
    <s v="Fernanda Lima"/>
    <x v="0"/>
    <x v="13"/>
    <x v="1"/>
    <n v="15"/>
    <x v="0"/>
    <s v="Yes"/>
    <n v="30"/>
    <s v="Yes"/>
    <n v="20"/>
    <n v="8"/>
    <x v="9"/>
  </r>
  <r>
    <n v="3246"/>
    <s v="Caio Pereira"/>
    <x v="2"/>
    <x v="14"/>
    <x v="0"/>
    <n v="10"/>
    <x v="1"/>
    <s v="No"/>
    <s v="-"/>
    <s v="Yes"/>
    <n v="20"/>
    <n v="12"/>
    <x v="10"/>
  </r>
  <r>
    <n v="3247"/>
    <s v="Beatriz Gomes"/>
    <x v="1"/>
    <x v="15"/>
    <x v="1"/>
    <n v="5"/>
    <x v="0"/>
    <s v="No"/>
    <s v="-"/>
    <s v="No"/>
    <n v="0"/>
    <n v="2"/>
    <x v="11"/>
  </r>
  <r>
    <n v="3248"/>
    <s v="Cesar Oliveira"/>
    <x v="0"/>
    <x v="16"/>
    <x v="0"/>
    <n v="15"/>
    <x v="2"/>
    <s v="Yes"/>
    <n v="30"/>
    <s v="Yes"/>
    <n v="20"/>
    <n v="7"/>
    <x v="12"/>
  </r>
  <r>
    <n v="3249"/>
    <s v="Débora Machado"/>
    <x v="2"/>
    <x v="17"/>
    <x v="1"/>
    <n v="10"/>
    <x v="0"/>
    <s v="No"/>
    <s v="-"/>
    <s v="Yes"/>
    <n v="20"/>
    <n v="5"/>
    <x v="13"/>
  </r>
  <r>
    <n v="3250"/>
    <s v="Eduardo Vargas"/>
    <x v="1"/>
    <x v="18"/>
    <x v="0"/>
    <n v="5"/>
    <x v="1"/>
    <s v="No"/>
    <s v="-"/>
    <s v="No"/>
    <n v="0"/>
    <n v="0"/>
    <x v="1"/>
  </r>
  <r>
    <n v="3251"/>
    <s v="Gabriela Santos"/>
    <x v="0"/>
    <x v="19"/>
    <x v="1"/>
    <n v="15"/>
    <x v="0"/>
    <s v="Yes"/>
    <n v="30"/>
    <s v="Yes"/>
    <n v="20"/>
    <n v="3"/>
    <x v="3"/>
  </r>
  <r>
    <n v="3252"/>
    <s v="Henrique Dias"/>
    <x v="2"/>
    <x v="20"/>
    <x v="0"/>
    <n v="10"/>
    <x v="2"/>
    <s v="No"/>
    <s v="-"/>
    <s v="Yes"/>
    <n v="20"/>
    <n v="15"/>
    <x v="7"/>
  </r>
  <r>
    <n v="3253"/>
    <s v="Isabela Moreira"/>
    <x v="1"/>
    <x v="21"/>
    <x v="1"/>
    <n v="5"/>
    <x v="0"/>
    <s v="No"/>
    <s v="-"/>
    <s v="No"/>
    <n v="0"/>
    <n v="1"/>
    <x v="4"/>
  </r>
  <r>
    <n v="3254"/>
    <s v="Joaquim Barbosa"/>
    <x v="0"/>
    <x v="22"/>
    <x v="0"/>
    <n v="15"/>
    <x v="1"/>
    <s v="Yes"/>
    <n v="30"/>
    <s v="Yes"/>
    <n v="20"/>
    <n v="20"/>
    <x v="8"/>
  </r>
  <r>
    <n v="3255"/>
    <s v="Lara Rocha"/>
    <x v="2"/>
    <x v="23"/>
    <x v="1"/>
    <n v="10"/>
    <x v="0"/>
    <s v="No"/>
    <s v="-"/>
    <s v="Yes"/>
    <n v="20"/>
    <n v="10"/>
    <x v="2"/>
  </r>
  <r>
    <n v="3256"/>
    <s v="Matheus Silva"/>
    <x v="1"/>
    <x v="24"/>
    <x v="0"/>
    <n v="5"/>
    <x v="2"/>
    <s v="No"/>
    <s v="-"/>
    <s v="No"/>
    <n v="0"/>
    <n v="0"/>
    <x v="1"/>
  </r>
  <r>
    <n v="3257"/>
    <s v="Nicole Costa"/>
    <x v="0"/>
    <x v="25"/>
    <x v="1"/>
    <n v="15"/>
    <x v="0"/>
    <s v="Yes"/>
    <n v="30"/>
    <s v="Yes"/>
    <n v="20"/>
    <n v="5"/>
    <x v="0"/>
  </r>
  <r>
    <n v="3258"/>
    <s v="Otávio Mendonça"/>
    <x v="2"/>
    <x v="26"/>
    <x v="0"/>
    <n v="10"/>
    <x v="1"/>
    <s v="No"/>
    <s v="-"/>
    <s v="Yes"/>
    <n v="20"/>
    <n v="15"/>
    <x v="7"/>
  </r>
  <r>
    <n v="3259"/>
    <s v="Paula Ferreira"/>
    <x v="1"/>
    <x v="27"/>
    <x v="1"/>
    <n v="5"/>
    <x v="0"/>
    <s v="No"/>
    <s v="-"/>
    <s v="No"/>
    <n v="0"/>
    <n v="1"/>
    <x v="4"/>
  </r>
  <r>
    <n v="3260"/>
    <s v="Raquel Alves"/>
    <x v="0"/>
    <x v="28"/>
    <x v="0"/>
    <n v="15"/>
    <x v="2"/>
    <s v="Yes"/>
    <n v="30"/>
    <s v="Yes"/>
    <n v="20"/>
    <n v="7"/>
    <x v="12"/>
  </r>
  <r>
    <n v="3261"/>
    <s v="Samuel Pires"/>
    <x v="2"/>
    <x v="29"/>
    <x v="1"/>
    <n v="10"/>
    <x v="0"/>
    <s v="No"/>
    <s v="-"/>
    <s v="Yes"/>
    <n v="20"/>
    <n v="10"/>
    <x v="2"/>
  </r>
  <r>
    <n v="3262"/>
    <s v="Tânia Barros"/>
    <x v="1"/>
    <x v="30"/>
    <x v="0"/>
    <n v="5"/>
    <x v="1"/>
    <s v="No"/>
    <s v="-"/>
    <s v="No"/>
    <n v="0"/>
    <n v="0"/>
    <x v="1"/>
  </r>
  <r>
    <n v="3263"/>
    <s v="Vinicius Lima"/>
    <x v="0"/>
    <x v="31"/>
    <x v="1"/>
    <n v="15"/>
    <x v="0"/>
    <s v="Yes"/>
    <n v="30"/>
    <s v="Yes"/>
    <n v="20"/>
    <n v="3"/>
    <x v="3"/>
  </r>
  <r>
    <n v="3264"/>
    <s v="Yasmin Teixeira"/>
    <x v="2"/>
    <x v="32"/>
    <x v="0"/>
    <n v="10"/>
    <x v="2"/>
    <s v="No"/>
    <s v="-"/>
    <s v="Yes"/>
    <n v="20"/>
    <n v="15"/>
    <x v="7"/>
  </r>
  <r>
    <n v="3265"/>
    <s v="Zé Carlos"/>
    <x v="1"/>
    <x v="33"/>
    <x v="1"/>
    <n v="5"/>
    <x v="0"/>
    <s v="No"/>
    <s v="-"/>
    <s v="No"/>
    <n v="0"/>
    <n v="1"/>
    <x v="4"/>
  </r>
  <r>
    <n v="3266"/>
    <s v="Amanda Nogueira"/>
    <x v="1"/>
    <x v="34"/>
    <x v="0"/>
    <n v="5"/>
    <x v="0"/>
    <s v="No"/>
    <s v="-"/>
    <s v="No"/>
    <n v="0"/>
    <n v="0"/>
    <x v="1"/>
  </r>
  <r>
    <n v="3267"/>
    <s v="Bruno Cavalheiro"/>
    <x v="0"/>
    <x v="35"/>
    <x v="1"/>
    <n v="15"/>
    <x v="2"/>
    <s v="Yes"/>
    <n v="30"/>
    <s v="Yes"/>
    <n v="20"/>
    <n v="7"/>
    <x v="12"/>
  </r>
  <r>
    <n v="3268"/>
    <s v="Carla Dias"/>
    <x v="2"/>
    <x v="36"/>
    <x v="0"/>
    <n v="10"/>
    <x v="1"/>
    <s v="No"/>
    <s v="-"/>
    <s v="Yes"/>
    <n v="20"/>
    <n v="10"/>
    <x v="2"/>
  </r>
  <r>
    <n v="3269"/>
    <s v="Diego Fontes"/>
    <x v="1"/>
    <x v="37"/>
    <x v="1"/>
    <n v="5"/>
    <x v="2"/>
    <s v="No"/>
    <s v="-"/>
    <s v="No"/>
    <n v="0"/>
    <n v="1"/>
    <x v="4"/>
  </r>
  <r>
    <n v="3270"/>
    <s v="Eunice Lima"/>
    <x v="0"/>
    <x v="38"/>
    <x v="0"/>
    <n v="15"/>
    <x v="0"/>
    <s v="Yes"/>
    <n v="30"/>
    <s v="Yes"/>
    <n v="20"/>
    <n v="15"/>
    <x v="14"/>
  </r>
  <r>
    <n v="3271"/>
    <s v="Fábio Martins"/>
    <x v="2"/>
    <x v="39"/>
    <x v="1"/>
    <n v="10"/>
    <x v="0"/>
    <s v="No"/>
    <s v="-"/>
    <s v="Yes"/>
    <n v="20"/>
    <n v="5"/>
    <x v="13"/>
  </r>
  <r>
    <n v="3272"/>
    <s v="Gisele Araújo"/>
    <x v="1"/>
    <x v="40"/>
    <x v="0"/>
    <n v="5"/>
    <x v="1"/>
    <s v="No"/>
    <s v="-"/>
    <s v="No"/>
    <n v="0"/>
    <n v="0"/>
    <x v="1"/>
  </r>
  <r>
    <n v="3273"/>
    <s v="Hélio Castro"/>
    <x v="0"/>
    <x v="41"/>
    <x v="1"/>
    <n v="15"/>
    <x v="2"/>
    <s v="Yes"/>
    <n v="30"/>
    <s v="Yes"/>
    <n v="20"/>
    <n v="20"/>
    <x v="8"/>
  </r>
  <r>
    <n v="3274"/>
    <s v="Ingrid Menezes"/>
    <x v="2"/>
    <x v="42"/>
    <x v="0"/>
    <n v="10"/>
    <x v="2"/>
    <s v="No"/>
    <s v="-"/>
    <s v="Yes"/>
    <n v="20"/>
    <n v="12"/>
    <x v="10"/>
  </r>
  <r>
    <n v="3275"/>
    <s v="Jorge Baptista"/>
    <x v="1"/>
    <x v="43"/>
    <x v="1"/>
    <n v="5"/>
    <x v="0"/>
    <s v="No"/>
    <s v="-"/>
    <s v="No"/>
    <n v="0"/>
    <n v="2"/>
    <x v="11"/>
  </r>
  <r>
    <n v="3276"/>
    <s v="Kléber Oliveira"/>
    <x v="0"/>
    <x v="44"/>
    <x v="0"/>
    <n v="15"/>
    <x v="1"/>
    <s v="Yes"/>
    <n v="30"/>
    <s v="Yes"/>
    <n v="20"/>
    <n v="5"/>
    <x v="0"/>
  </r>
  <r>
    <n v="3277"/>
    <s v="Luciana Freitas"/>
    <x v="2"/>
    <x v="45"/>
    <x v="1"/>
    <n v="10"/>
    <x v="0"/>
    <s v="No"/>
    <s v="-"/>
    <s v="Yes"/>
    <n v="20"/>
    <n v="10"/>
    <x v="2"/>
  </r>
  <r>
    <n v="3278"/>
    <s v="Márcia Eller"/>
    <x v="1"/>
    <x v="46"/>
    <x v="0"/>
    <n v="5"/>
    <x v="2"/>
    <s v="No"/>
    <s v="-"/>
    <s v="No"/>
    <n v="0"/>
    <n v="0"/>
    <x v="1"/>
  </r>
  <r>
    <n v="3279"/>
    <s v="Nilo Peçanha"/>
    <x v="0"/>
    <x v="47"/>
    <x v="1"/>
    <n v="15"/>
    <x v="0"/>
    <s v="Yes"/>
    <n v="30"/>
    <s v="Yes"/>
    <n v="20"/>
    <n v="3"/>
    <x v="3"/>
  </r>
  <r>
    <n v="3280"/>
    <s v="Oscar Neves"/>
    <x v="2"/>
    <x v="48"/>
    <x v="0"/>
    <n v="10"/>
    <x v="1"/>
    <s v="No"/>
    <s v="-"/>
    <s v="Yes"/>
    <n v="20"/>
    <n v="15"/>
    <x v="7"/>
  </r>
  <r>
    <n v="3281"/>
    <s v="Patrícia Soares"/>
    <x v="1"/>
    <x v="49"/>
    <x v="1"/>
    <n v="5"/>
    <x v="0"/>
    <s v="No"/>
    <s v="-"/>
    <s v="No"/>
    <n v="0"/>
    <n v="1"/>
    <x v="4"/>
  </r>
  <r>
    <n v="3282"/>
    <s v="Quirino Gonçalves"/>
    <x v="0"/>
    <x v="50"/>
    <x v="0"/>
    <n v="15"/>
    <x v="2"/>
    <s v="Yes"/>
    <n v="30"/>
    <s v="Yes"/>
    <n v="20"/>
    <n v="7"/>
    <x v="12"/>
  </r>
  <r>
    <n v="3283"/>
    <s v="Raul Machado"/>
    <x v="2"/>
    <x v="51"/>
    <x v="1"/>
    <n v="10"/>
    <x v="0"/>
    <s v="No"/>
    <s v="-"/>
    <s v="Yes"/>
    <n v="20"/>
    <n v="10"/>
    <x v="2"/>
  </r>
  <r>
    <n v="3284"/>
    <s v="Sônia Lobo"/>
    <x v="1"/>
    <x v="52"/>
    <x v="0"/>
    <n v="5"/>
    <x v="1"/>
    <s v="No"/>
    <s v="-"/>
    <s v="No"/>
    <n v="0"/>
    <n v="0"/>
    <x v="1"/>
  </r>
  <r>
    <n v="3285"/>
    <s v="Tiago Ramos"/>
    <x v="0"/>
    <x v="53"/>
    <x v="1"/>
    <n v="15"/>
    <x v="0"/>
    <s v="Yes"/>
    <n v="30"/>
    <s v="Yes"/>
    <n v="20"/>
    <n v="20"/>
    <x v="8"/>
  </r>
  <r>
    <n v="3286"/>
    <s v="Ugo Pires"/>
    <x v="2"/>
    <x v="54"/>
    <x v="0"/>
    <n v="10"/>
    <x v="2"/>
    <s v="No"/>
    <s v="-"/>
    <s v="Yes"/>
    <n v="20"/>
    <n v="15"/>
    <x v="7"/>
  </r>
  <r>
    <n v="3287"/>
    <s v="Valéria Nobre"/>
    <x v="1"/>
    <x v="55"/>
    <x v="1"/>
    <n v="5"/>
    <x v="0"/>
    <s v="No"/>
    <s v="-"/>
    <s v="No"/>
    <n v="0"/>
    <n v="1"/>
    <x v="4"/>
  </r>
  <r>
    <n v="3288"/>
    <s v="William Siqueira"/>
    <x v="0"/>
    <x v="56"/>
    <x v="0"/>
    <n v="15"/>
    <x v="1"/>
    <s v="Yes"/>
    <n v="30"/>
    <s v="Yes"/>
    <n v="20"/>
    <n v="3"/>
    <x v="3"/>
  </r>
  <r>
    <n v="3289"/>
    <s v="Xuxa Meneghel"/>
    <x v="2"/>
    <x v="57"/>
    <x v="1"/>
    <n v="10"/>
    <x v="0"/>
    <s v="No"/>
    <s v="-"/>
    <s v="Yes"/>
    <n v="20"/>
    <n v="10"/>
    <x v="2"/>
  </r>
  <r>
    <n v="3290"/>
    <s v="Yara Figueiredo"/>
    <x v="1"/>
    <x v="58"/>
    <x v="0"/>
    <n v="5"/>
    <x v="2"/>
    <s v="No"/>
    <s v="-"/>
    <s v="No"/>
    <n v="0"/>
    <n v="0"/>
    <x v="1"/>
  </r>
  <r>
    <n v="3291"/>
    <s v="Zacarias Alves"/>
    <x v="0"/>
    <x v="59"/>
    <x v="1"/>
    <n v="15"/>
    <x v="0"/>
    <s v="Yes"/>
    <n v="30"/>
    <s v="Yes"/>
    <n v="20"/>
    <n v="5"/>
    <x v="0"/>
  </r>
  <r>
    <n v="3292"/>
    <s v="Amanda Bynes"/>
    <x v="2"/>
    <x v="60"/>
    <x v="0"/>
    <n v="10"/>
    <x v="1"/>
    <s v="No"/>
    <s v="-"/>
    <s v="Yes"/>
    <n v="20"/>
    <n v="15"/>
    <x v="7"/>
  </r>
  <r>
    <n v="3293"/>
    <s v="Bruno Mars"/>
    <x v="1"/>
    <x v="61"/>
    <x v="1"/>
    <n v="5"/>
    <x v="0"/>
    <s v="No"/>
    <s v="-"/>
    <s v="No"/>
    <n v="0"/>
    <n v="1"/>
    <x v="4"/>
  </r>
  <r>
    <n v="3294"/>
    <s v="Carla Bruni"/>
    <x v="0"/>
    <x v="62"/>
    <x v="0"/>
    <n v="15"/>
    <x v="2"/>
    <s v="Yes"/>
    <n v="30"/>
    <s v="Yes"/>
    <n v="20"/>
    <n v="20"/>
    <x v="8"/>
  </r>
  <r>
    <n v="3295"/>
    <s v="Diego Maradona"/>
    <x v="2"/>
    <x v="63"/>
    <x v="1"/>
    <n v="10"/>
    <x v="0"/>
    <s v="No"/>
    <s v="-"/>
    <s v="Yes"/>
    <n v="20"/>
    <n v="5"/>
    <x v="13"/>
  </r>
  <r>
    <n v="3296"/>
    <s v="Estela Marques"/>
    <x v="1"/>
    <x v="64"/>
    <x v="1"/>
    <n v="5"/>
    <x v="0"/>
    <s v="No"/>
    <s v="-"/>
    <s v="No"/>
    <n v="0"/>
    <n v="0"/>
    <x v="1"/>
  </r>
  <r>
    <n v="3297"/>
    <s v="Fábio Nobre"/>
    <x v="0"/>
    <x v="65"/>
    <x v="0"/>
    <n v="15"/>
    <x v="2"/>
    <s v="Yes"/>
    <n v="30"/>
    <s v="Yes"/>
    <n v="20"/>
    <n v="7"/>
    <x v="12"/>
  </r>
  <r>
    <n v="3298"/>
    <s v="Gabriel Oliveira"/>
    <x v="2"/>
    <x v="66"/>
    <x v="1"/>
    <n v="10"/>
    <x v="1"/>
    <s v="No"/>
    <s v="-"/>
    <s v="Yes"/>
    <n v="20"/>
    <n v="10"/>
    <x v="2"/>
  </r>
  <r>
    <n v="3299"/>
    <s v="Helena Santos"/>
    <x v="1"/>
    <x v="67"/>
    <x v="0"/>
    <n v="5"/>
    <x v="2"/>
    <s v="No"/>
    <s v="-"/>
    <s v="No"/>
    <n v="0"/>
    <n v="1"/>
    <x v="4"/>
  </r>
  <r>
    <n v="3300"/>
    <s v="Ivan Carvalho"/>
    <x v="0"/>
    <x v="68"/>
    <x v="1"/>
    <n v="15"/>
    <x v="0"/>
    <s v="Yes"/>
    <n v="30"/>
    <s v="Yes"/>
    <n v="20"/>
    <n v="15"/>
    <x v="14"/>
  </r>
  <r>
    <n v="3301"/>
    <s v="Júlia Ferreira"/>
    <x v="2"/>
    <x v="69"/>
    <x v="0"/>
    <n v="10"/>
    <x v="0"/>
    <s v="No"/>
    <s v="-"/>
    <s v="Yes"/>
    <n v="20"/>
    <n v="5"/>
    <x v="13"/>
  </r>
  <r>
    <n v="3302"/>
    <s v="Karla Alves"/>
    <x v="1"/>
    <x v="70"/>
    <x v="1"/>
    <n v="5"/>
    <x v="1"/>
    <s v="No"/>
    <s v="-"/>
    <s v="No"/>
    <n v="0"/>
    <n v="0"/>
    <x v="1"/>
  </r>
  <r>
    <n v="3303"/>
    <s v="Lucas Mendes"/>
    <x v="0"/>
    <x v="71"/>
    <x v="0"/>
    <n v="15"/>
    <x v="2"/>
    <s v="Yes"/>
    <n v="30"/>
    <s v="Yes"/>
    <n v="20"/>
    <n v="20"/>
    <x v="8"/>
  </r>
  <r>
    <n v="3304"/>
    <s v="Mônica Gomes"/>
    <x v="2"/>
    <x v="72"/>
    <x v="1"/>
    <n v="10"/>
    <x v="2"/>
    <s v="No"/>
    <s v="-"/>
    <s v="Yes"/>
    <n v="20"/>
    <n v="12"/>
    <x v="10"/>
  </r>
  <r>
    <n v="3305"/>
    <s v="Norberto Queiroz"/>
    <x v="1"/>
    <x v="73"/>
    <x v="0"/>
    <n v="5"/>
    <x v="0"/>
    <s v="No"/>
    <s v="-"/>
    <s v="No"/>
    <n v="0"/>
    <n v="2"/>
    <x v="11"/>
  </r>
  <r>
    <n v="3306"/>
    <s v="Otávio Barros"/>
    <x v="0"/>
    <x v="74"/>
    <x v="1"/>
    <n v="15"/>
    <x v="1"/>
    <s v="Yes"/>
    <n v="30"/>
    <s v="Yes"/>
    <n v="20"/>
    <n v="5"/>
    <x v="0"/>
  </r>
  <r>
    <n v="3307"/>
    <s v="Paula Vieira"/>
    <x v="2"/>
    <x v="75"/>
    <x v="0"/>
    <n v="10"/>
    <x v="0"/>
    <s v="No"/>
    <s v="-"/>
    <s v="Yes"/>
    <n v="20"/>
    <n v="10"/>
    <x v="2"/>
  </r>
  <r>
    <n v="3308"/>
    <s v="Quentin Ramos"/>
    <x v="1"/>
    <x v="76"/>
    <x v="1"/>
    <n v="5"/>
    <x v="2"/>
    <s v="No"/>
    <s v="-"/>
    <s v="No"/>
    <n v="0"/>
    <n v="0"/>
    <x v="1"/>
  </r>
  <r>
    <n v="3309"/>
    <s v="Raquel Novaes"/>
    <x v="0"/>
    <x v="77"/>
    <x v="0"/>
    <n v="15"/>
    <x v="0"/>
    <s v="Yes"/>
    <n v="30"/>
    <s v="Yes"/>
    <n v="20"/>
    <n v="3"/>
    <x v="3"/>
  </r>
  <r>
    <n v="3310"/>
    <s v="Samantha Lopes"/>
    <x v="2"/>
    <x v="78"/>
    <x v="1"/>
    <n v="10"/>
    <x v="1"/>
    <s v="No"/>
    <s v="-"/>
    <s v="Yes"/>
    <n v="20"/>
    <n v="15"/>
    <x v="7"/>
  </r>
  <r>
    <n v="3311"/>
    <s v="Tiago Martins"/>
    <x v="1"/>
    <x v="79"/>
    <x v="0"/>
    <n v="5"/>
    <x v="0"/>
    <s v="No"/>
    <s v="-"/>
    <s v="No"/>
    <n v="0"/>
    <n v="1"/>
    <x v="4"/>
  </r>
  <r>
    <n v="3312"/>
    <s v="Ulysses Guimarães"/>
    <x v="0"/>
    <x v="80"/>
    <x v="1"/>
    <n v="15"/>
    <x v="2"/>
    <s v="Yes"/>
    <n v="30"/>
    <s v="Yes"/>
    <n v="20"/>
    <n v="7"/>
    <x v="12"/>
  </r>
  <r>
    <n v="3313"/>
    <s v="Vanessa Silva"/>
    <x v="2"/>
    <x v="81"/>
    <x v="0"/>
    <n v="10"/>
    <x v="0"/>
    <s v="No"/>
    <s v="-"/>
    <s v="Yes"/>
    <n v="20"/>
    <n v="10"/>
    <x v="2"/>
  </r>
  <r>
    <n v="3314"/>
    <s v="William Carneiro"/>
    <x v="1"/>
    <x v="82"/>
    <x v="1"/>
    <n v="5"/>
    <x v="1"/>
    <s v="No"/>
    <s v="-"/>
    <s v="No"/>
    <n v="0"/>
    <n v="0"/>
    <x v="1"/>
  </r>
  <r>
    <n v="3315"/>
    <s v="Ximena Rocha"/>
    <x v="0"/>
    <x v="83"/>
    <x v="0"/>
    <n v="15"/>
    <x v="0"/>
    <s v="Yes"/>
    <n v="30"/>
    <s v="Yes"/>
    <n v="20"/>
    <n v="20"/>
    <x v="8"/>
  </r>
  <r>
    <n v="3316"/>
    <s v="Yasmin Figueiredo"/>
    <x v="2"/>
    <x v="84"/>
    <x v="1"/>
    <n v="10"/>
    <x v="2"/>
    <s v="No"/>
    <s v="-"/>
    <s v="Yes"/>
    <n v="20"/>
    <n v="15"/>
    <x v="7"/>
  </r>
  <r>
    <n v="3317"/>
    <s v="Zara Cunha"/>
    <x v="1"/>
    <x v="85"/>
    <x v="0"/>
    <n v="5"/>
    <x v="0"/>
    <s v="No"/>
    <s v="-"/>
    <s v="No"/>
    <n v="0"/>
    <n v="1"/>
    <x v="4"/>
  </r>
  <r>
    <n v="3318"/>
    <s v="Alan Teixeira"/>
    <x v="0"/>
    <x v="86"/>
    <x v="1"/>
    <n v="15"/>
    <x v="1"/>
    <s v="Yes"/>
    <n v="30"/>
    <s v="Yes"/>
    <n v="20"/>
    <n v="3"/>
    <x v="3"/>
  </r>
  <r>
    <n v="3319"/>
    <s v="Bárbara Oliveira"/>
    <x v="2"/>
    <x v="87"/>
    <x v="0"/>
    <n v="10"/>
    <x v="0"/>
    <s v="No"/>
    <s v="-"/>
    <s v="Yes"/>
    <n v="20"/>
    <n v="10"/>
    <x v="2"/>
  </r>
  <r>
    <n v="3320"/>
    <s v="Carlos Junqueira"/>
    <x v="1"/>
    <x v="88"/>
    <x v="1"/>
    <n v="5"/>
    <x v="2"/>
    <s v="No"/>
    <s v="-"/>
    <s v="No"/>
    <n v="0"/>
    <n v="0"/>
    <x v="1"/>
  </r>
  <r>
    <n v="3321"/>
    <s v="Daniela Moura"/>
    <x v="0"/>
    <x v="89"/>
    <x v="0"/>
    <n v="15"/>
    <x v="0"/>
    <s v="Yes"/>
    <n v="30"/>
    <s v="Yes"/>
    <n v="20"/>
    <n v="5"/>
    <x v="0"/>
  </r>
  <r>
    <n v="3322"/>
    <s v="Eduardo Lima"/>
    <x v="2"/>
    <x v="90"/>
    <x v="1"/>
    <n v="10"/>
    <x v="1"/>
    <s v="No"/>
    <s v="-"/>
    <s v="Yes"/>
    <n v="20"/>
    <n v="15"/>
    <x v="7"/>
  </r>
  <r>
    <n v="3323"/>
    <s v="Fabiana Araújo"/>
    <x v="1"/>
    <x v="91"/>
    <x v="0"/>
    <n v="5"/>
    <x v="0"/>
    <s v="No"/>
    <s v="-"/>
    <s v="No"/>
    <n v="0"/>
    <n v="1"/>
    <x v="4"/>
  </r>
  <r>
    <n v="3324"/>
    <s v="Geraldo Ribeiro"/>
    <x v="0"/>
    <x v="92"/>
    <x v="1"/>
    <n v="15"/>
    <x v="2"/>
    <s v="Yes"/>
    <n v="30"/>
    <s v="Yes"/>
    <n v="20"/>
    <n v="20"/>
    <x v="8"/>
  </r>
  <r>
    <n v="3325"/>
    <s v="Héctor Vargas"/>
    <x v="2"/>
    <x v="93"/>
    <x v="0"/>
    <n v="10"/>
    <x v="2"/>
    <s v="No"/>
    <s v="-"/>
    <s v="Yes"/>
    <n v="20"/>
    <n v="15"/>
    <x v="7"/>
  </r>
  <r>
    <n v="3326"/>
    <s v="Isabela Fonseca"/>
    <x v="1"/>
    <x v="94"/>
    <x v="1"/>
    <n v="5"/>
    <x v="1"/>
    <s v="No"/>
    <s v="-"/>
    <s v="No"/>
    <n v="0"/>
    <n v="0"/>
    <x v="1"/>
  </r>
  <r>
    <n v="3327"/>
    <s v="João Pedro Almeida"/>
    <x v="0"/>
    <x v="95"/>
    <x v="0"/>
    <n v="15"/>
    <x v="0"/>
    <s v="Yes"/>
    <n v="30"/>
    <s v="Yes"/>
    <n v="20"/>
    <n v="7"/>
    <x v="12"/>
  </r>
  <r>
    <n v="3328"/>
    <s v="Klara Costa"/>
    <x v="2"/>
    <x v="96"/>
    <x v="1"/>
    <n v="10"/>
    <x v="1"/>
    <s v="No"/>
    <s v="-"/>
    <s v="Yes"/>
    <n v="20"/>
    <n v="10"/>
    <x v="2"/>
  </r>
  <r>
    <n v="3329"/>
    <s v="Luciana Mendes"/>
    <x v="1"/>
    <x v="97"/>
    <x v="0"/>
    <n v="5"/>
    <x v="2"/>
    <s v="No"/>
    <s v="-"/>
    <s v="No"/>
    <n v="0"/>
    <n v="1"/>
    <x v="4"/>
  </r>
  <r>
    <n v="3330"/>
    <s v="Marcelo Gouveia"/>
    <x v="0"/>
    <x v="98"/>
    <x v="1"/>
    <n v="15"/>
    <x v="0"/>
    <s v="Yes"/>
    <n v="30"/>
    <s v="Yes"/>
    <n v="20"/>
    <n v="15"/>
    <x v="14"/>
  </r>
  <r>
    <n v="3331"/>
    <s v="Nívea Borges"/>
    <x v="2"/>
    <x v="99"/>
    <x v="0"/>
    <n v="10"/>
    <x v="0"/>
    <s v="No"/>
    <s v="-"/>
    <s v="Yes"/>
    <n v="20"/>
    <n v="5"/>
    <x v="13"/>
  </r>
  <r>
    <n v="3332"/>
    <s v="Oscar Nogueira"/>
    <x v="1"/>
    <x v="100"/>
    <x v="1"/>
    <n v="5"/>
    <x v="1"/>
    <s v="No"/>
    <s v="-"/>
    <s v="No"/>
    <n v="0"/>
    <n v="0"/>
    <x v="1"/>
  </r>
  <r>
    <n v="3333"/>
    <s v="Patrícia Alves"/>
    <x v="0"/>
    <x v="101"/>
    <x v="0"/>
    <n v="15"/>
    <x v="2"/>
    <s v="Yes"/>
    <n v="30"/>
    <s v="Yes"/>
    <n v="20"/>
    <n v="20"/>
    <x v="8"/>
  </r>
  <r>
    <n v="3334"/>
    <s v="Rafaela Silva"/>
    <x v="2"/>
    <x v="102"/>
    <x v="1"/>
    <n v="10"/>
    <x v="2"/>
    <s v="No"/>
    <s v="-"/>
    <s v="Yes"/>
    <n v="20"/>
    <n v="12"/>
    <x v="10"/>
  </r>
  <r>
    <n v="3335"/>
    <s v="Samantha Moraes"/>
    <x v="1"/>
    <x v="103"/>
    <x v="0"/>
    <n v="5"/>
    <x v="0"/>
    <s v="No"/>
    <s v="-"/>
    <s v="No"/>
    <n v="0"/>
    <n v="2"/>
    <x v="11"/>
  </r>
  <r>
    <n v="3336"/>
    <s v="Tatiana Rocha"/>
    <x v="1"/>
    <x v="104"/>
    <x v="0"/>
    <n v="5"/>
    <x v="0"/>
    <s v="No"/>
    <s v="-"/>
    <s v="No"/>
    <n v="0"/>
    <n v="0"/>
    <x v="1"/>
  </r>
  <r>
    <n v="3337"/>
    <s v="Ulisses Tavares"/>
    <x v="0"/>
    <x v="105"/>
    <x v="1"/>
    <n v="15"/>
    <x v="2"/>
    <s v="Yes"/>
    <n v="30"/>
    <s v="Yes"/>
    <n v="20"/>
    <n v="7"/>
    <x v="12"/>
  </r>
  <r>
    <n v="3338"/>
    <s v="Víctor Lemos"/>
    <x v="2"/>
    <x v="106"/>
    <x v="0"/>
    <n v="10"/>
    <x v="1"/>
    <s v="No"/>
    <s v="-"/>
    <s v="Yes"/>
    <n v="20"/>
    <n v="10"/>
    <x v="2"/>
  </r>
  <r>
    <n v="3339"/>
    <s v="Wilma Barros"/>
    <x v="1"/>
    <x v="107"/>
    <x v="1"/>
    <n v="5"/>
    <x v="2"/>
    <s v="No"/>
    <s v="-"/>
    <s v="No"/>
    <n v="0"/>
    <n v="1"/>
    <x v="4"/>
  </r>
  <r>
    <n v="3340"/>
    <s v="Xavier Nascimento"/>
    <x v="0"/>
    <x v="108"/>
    <x v="0"/>
    <n v="15"/>
    <x v="0"/>
    <s v="Yes"/>
    <n v="30"/>
    <s v="Yes"/>
    <n v="20"/>
    <n v="15"/>
    <x v="14"/>
  </r>
  <r>
    <n v="3341"/>
    <s v="Yago Pereira"/>
    <x v="2"/>
    <x v="109"/>
    <x v="1"/>
    <n v="10"/>
    <x v="0"/>
    <s v="No"/>
    <s v="-"/>
    <s v="Yes"/>
    <n v="20"/>
    <n v="5"/>
    <x v="13"/>
  </r>
  <r>
    <n v="3342"/>
    <s v="Zilda Ferreira"/>
    <x v="1"/>
    <x v="110"/>
    <x v="0"/>
    <n v="5"/>
    <x v="1"/>
    <s v="No"/>
    <s v="-"/>
    <s v="No"/>
    <n v="0"/>
    <n v="0"/>
    <x v="1"/>
  </r>
  <r>
    <n v="3343"/>
    <s v="Amanda Lopes"/>
    <x v="0"/>
    <x v="111"/>
    <x v="1"/>
    <n v="15"/>
    <x v="2"/>
    <s v="Yes"/>
    <n v="30"/>
    <s v="Yes"/>
    <n v="20"/>
    <n v="20"/>
    <x v="8"/>
  </r>
  <r>
    <n v="3344"/>
    <s v="Bruno Miranda"/>
    <x v="2"/>
    <x v="112"/>
    <x v="0"/>
    <n v="10"/>
    <x v="2"/>
    <s v="No"/>
    <s v="-"/>
    <s v="Yes"/>
    <n v="20"/>
    <n v="12"/>
    <x v="10"/>
  </r>
  <r>
    <n v="3345"/>
    <s v="Célia Torres"/>
    <x v="1"/>
    <x v="113"/>
    <x v="1"/>
    <n v="5"/>
    <x v="0"/>
    <s v="No"/>
    <s v="-"/>
    <s v="No"/>
    <n v="0"/>
    <n v="2"/>
    <x v="11"/>
  </r>
  <r>
    <n v="3346"/>
    <s v="Diogo Souza"/>
    <x v="0"/>
    <x v="114"/>
    <x v="0"/>
    <n v="15"/>
    <x v="1"/>
    <s v="Yes"/>
    <n v="30"/>
    <s v="Yes"/>
    <n v="20"/>
    <n v="5"/>
    <x v="0"/>
  </r>
  <r>
    <n v="3347"/>
    <s v="Elisa Castro"/>
    <x v="2"/>
    <x v="115"/>
    <x v="1"/>
    <n v="10"/>
    <x v="0"/>
    <s v="No"/>
    <s v="-"/>
    <s v="Yes"/>
    <n v="20"/>
    <n v="10"/>
    <x v="2"/>
  </r>
  <r>
    <n v="3348"/>
    <s v="Fátima Lima"/>
    <x v="1"/>
    <x v="116"/>
    <x v="0"/>
    <n v="5"/>
    <x v="2"/>
    <s v="No"/>
    <s v="-"/>
    <s v="No"/>
    <n v="0"/>
    <n v="0"/>
    <x v="1"/>
  </r>
  <r>
    <n v="3349"/>
    <s v="Geraldo Ribeiro"/>
    <x v="0"/>
    <x v="117"/>
    <x v="1"/>
    <n v="15"/>
    <x v="0"/>
    <s v="Yes"/>
    <n v="30"/>
    <s v="Yes"/>
    <n v="20"/>
    <n v="3"/>
    <x v="3"/>
  </r>
  <r>
    <n v="3350"/>
    <s v="Hélio Martins"/>
    <x v="2"/>
    <x v="118"/>
    <x v="0"/>
    <n v="10"/>
    <x v="1"/>
    <s v="No"/>
    <s v="-"/>
    <s v="Yes"/>
    <n v="20"/>
    <n v="15"/>
    <x v="7"/>
  </r>
  <r>
    <n v="3351"/>
    <s v="Íris Santos"/>
    <x v="1"/>
    <x v="119"/>
    <x v="1"/>
    <n v="5"/>
    <x v="0"/>
    <s v="No"/>
    <s v="-"/>
    <s v="No"/>
    <n v="0"/>
    <n v="1"/>
    <x v="4"/>
  </r>
  <r>
    <n v="3352"/>
    <s v="João Marcelo"/>
    <x v="0"/>
    <x v="120"/>
    <x v="0"/>
    <n v="15"/>
    <x v="2"/>
    <s v="Yes"/>
    <n v="30"/>
    <s v="Yes"/>
    <n v="20"/>
    <n v="7"/>
    <x v="12"/>
  </r>
  <r>
    <n v="3353"/>
    <s v="Larissa Gomes"/>
    <x v="2"/>
    <x v="121"/>
    <x v="1"/>
    <n v="10"/>
    <x v="0"/>
    <s v="No"/>
    <s v="-"/>
    <s v="Yes"/>
    <n v="20"/>
    <n v="10"/>
    <x v="2"/>
  </r>
  <r>
    <n v="3354"/>
    <s v="Márcio Silva"/>
    <x v="1"/>
    <x v="122"/>
    <x v="0"/>
    <n v="5"/>
    <x v="1"/>
    <s v="No"/>
    <s v="-"/>
    <s v="No"/>
    <n v="0"/>
    <n v="0"/>
    <x v="1"/>
  </r>
  <r>
    <n v="3355"/>
    <s v="Nadia Costa"/>
    <x v="0"/>
    <x v="123"/>
    <x v="1"/>
    <n v="15"/>
    <x v="0"/>
    <s v="Yes"/>
    <n v="30"/>
    <s v="Yes"/>
    <n v="20"/>
    <n v="20"/>
    <x v="8"/>
  </r>
  <r>
    <n v="3356"/>
    <s v="Oscar Almeida"/>
    <x v="2"/>
    <x v="124"/>
    <x v="0"/>
    <n v="10"/>
    <x v="2"/>
    <s v="No"/>
    <s v="-"/>
    <s v="Yes"/>
    <n v="20"/>
    <n v="15"/>
    <x v="7"/>
  </r>
  <r>
    <n v="3357"/>
    <s v="Patricia Soares"/>
    <x v="1"/>
    <x v="125"/>
    <x v="1"/>
    <n v="5"/>
    <x v="0"/>
    <s v="No"/>
    <s v="-"/>
    <s v="No"/>
    <n v="0"/>
    <n v="1"/>
    <x v="4"/>
  </r>
  <r>
    <n v="3358"/>
    <s v="Quênia Barros"/>
    <x v="0"/>
    <x v="126"/>
    <x v="0"/>
    <n v="15"/>
    <x v="1"/>
    <s v="Yes"/>
    <n v="30"/>
    <s v="Yes"/>
    <n v="20"/>
    <n v="3"/>
    <x v="3"/>
  </r>
  <r>
    <n v="3359"/>
    <s v="Rafael Torres"/>
    <x v="2"/>
    <x v="127"/>
    <x v="1"/>
    <n v="10"/>
    <x v="0"/>
    <s v="No"/>
    <s v="-"/>
    <s v="Yes"/>
    <n v="20"/>
    <n v="10"/>
    <x v="2"/>
  </r>
  <r>
    <n v="3360"/>
    <s v="Silvia Nascimento"/>
    <x v="1"/>
    <x v="128"/>
    <x v="0"/>
    <n v="5"/>
    <x v="2"/>
    <s v="No"/>
    <s v="-"/>
    <s v="No"/>
    <n v="0"/>
    <n v="0"/>
    <x v="1"/>
  </r>
  <r>
    <n v="3361"/>
    <s v="Tiago Mendes"/>
    <x v="0"/>
    <x v="129"/>
    <x v="1"/>
    <n v="15"/>
    <x v="0"/>
    <s v="Yes"/>
    <n v="30"/>
    <s v="Yes"/>
    <n v="20"/>
    <n v="15"/>
    <x v="14"/>
  </r>
  <r>
    <n v="3362"/>
    <s v="Ursula Silva"/>
    <x v="2"/>
    <x v="130"/>
    <x v="0"/>
    <n v="10"/>
    <x v="1"/>
    <s v="No"/>
    <s v="-"/>
    <s v="Yes"/>
    <n v="20"/>
    <n v="15"/>
    <x v="7"/>
  </r>
  <r>
    <n v="3363"/>
    <s v="Vanessa Moraes"/>
    <x v="1"/>
    <x v="131"/>
    <x v="1"/>
    <n v="5"/>
    <x v="0"/>
    <s v="No"/>
    <s v="-"/>
    <s v="No"/>
    <n v="0"/>
    <n v="1"/>
    <x v="4"/>
  </r>
  <r>
    <n v="3364"/>
    <s v="Waldir Junior"/>
    <x v="0"/>
    <x v="132"/>
    <x v="0"/>
    <n v="15"/>
    <x v="2"/>
    <s v="Yes"/>
    <n v="30"/>
    <s v="Yes"/>
    <n v="20"/>
    <n v="7"/>
    <x v="12"/>
  </r>
  <r>
    <n v="3365"/>
    <s v="Xavier Lopes"/>
    <x v="2"/>
    <x v="133"/>
    <x v="1"/>
    <n v="10"/>
    <x v="0"/>
    <s v="No"/>
    <s v="-"/>
    <s v="Yes"/>
    <n v="20"/>
    <n v="10"/>
    <x v="2"/>
  </r>
  <r>
    <n v="3366"/>
    <s v="Yolanda Freitas"/>
    <x v="1"/>
    <x v="134"/>
    <x v="0"/>
    <n v="5"/>
    <x v="0"/>
    <s v="No"/>
    <s v="-"/>
    <s v="No"/>
    <n v="0"/>
    <n v="0"/>
    <x v="1"/>
  </r>
  <r>
    <n v="3367"/>
    <s v="Zacarias Nunes"/>
    <x v="0"/>
    <x v="135"/>
    <x v="1"/>
    <n v="15"/>
    <x v="2"/>
    <s v="Yes"/>
    <n v="30"/>
    <s v="Yes"/>
    <n v="20"/>
    <n v="7"/>
    <x v="12"/>
  </r>
  <r>
    <n v="3368"/>
    <s v="Ana Clara Barreto"/>
    <x v="2"/>
    <x v="136"/>
    <x v="0"/>
    <n v="10"/>
    <x v="1"/>
    <s v="No"/>
    <s v="-"/>
    <s v="Yes"/>
    <n v="20"/>
    <n v="10"/>
    <x v="2"/>
  </r>
  <r>
    <n v="3369"/>
    <s v="Bruno Henrique"/>
    <x v="1"/>
    <x v="137"/>
    <x v="1"/>
    <n v="5"/>
    <x v="2"/>
    <s v="No"/>
    <s v="-"/>
    <s v="No"/>
    <n v="0"/>
    <n v="1"/>
    <x v="4"/>
  </r>
  <r>
    <n v="3370"/>
    <s v="Carlos Eduardo"/>
    <x v="0"/>
    <x v="138"/>
    <x v="0"/>
    <n v="15"/>
    <x v="0"/>
    <s v="Yes"/>
    <n v="30"/>
    <s v="Yes"/>
    <n v="20"/>
    <n v="15"/>
    <x v="14"/>
  </r>
  <r>
    <n v="3371"/>
    <s v="Débora Lima"/>
    <x v="2"/>
    <x v="139"/>
    <x v="1"/>
    <n v="10"/>
    <x v="0"/>
    <s v="No"/>
    <s v="-"/>
    <s v="Yes"/>
    <n v="20"/>
    <n v="5"/>
    <x v="13"/>
  </r>
  <r>
    <n v="3372"/>
    <s v="Elisa Neves"/>
    <x v="1"/>
    <x v="140"/>
    <x v="0"/>
    <n v="5"/>
    <x v="1"/>
    <s v="No"/>
    <s v="-"/>
    <s v="No"/>
    <n v="0"/>
    <n v="0"/>
    <x v="1"/>
  </r>
  <r>
    <n v="3373"/>
    <s v="Fabiano Gomes"/>
    <x v="0"/>
    <x v="141"/>
    <x v="1"/>
    <n v="15"/>
    <x v="2"/>
    <s v="Yes"/>
    <n v="30"/>
    <s v="Yes"/>
    <n v="20"/>
    <n v="20"/>
    <x v="8"/>
  </r>
  <r>
    <n v="3374"/>
    <s v="Gisele Oliveira"/>
    <x v="2"/>
    <x v="142"/>
    <x v="0"/>
    <n v="10"/>
    <x v="2"/>
    <s v="No"/>
    <s v="-"/>
    <s v="Yes"/>
    <n v="20"/>
    <n v="12"/>
    <x v="10"/>
  </r>
  <r>
    <n v="3375"/>
    <s v="Héctor Silva"/>
    <x v="1"/>
    <x v="143"/>
    <x v="1"/>
    <n v="5"/>
    <x v="0"/>
    <s v="No"/>
    <s v="-"/>
    <s v="No"/>
    <n v="0"/>
    <n v="2"/>
    <x v="11"/>
  </r>
  <r>
    <n v="3376"/>
    <s v="Igor Martins"/>
    <x v="0"/>
    <x v="144"/>
    <x v="0"/>
    <n v="15"/>
    <x v="1"/>
    <s v="Yes"/>
    <n v="30"/>
    <s v="Yes"/>
    <n v="20"/>
    <n v="5"/>
    <x v="0"/>
  </r>
  <r>
    <n v="3377"/>
    <s v="Joana Figueiredo"/>
    <x v="2"/>
    <x v="145"/>
    <x v="1"/>
    <n v="10"/>
    <x v="0"/>
    <s v="No"/>
    <s v="-"/>
    <s v="Yes"/>
    <n v="20"/>
    <n v="10"/>
    <x v="2"/>
  </r>
  <r>
    <n v="3378"/>
    <s v="Kleber Machado"/>
    <x v="1"/>
    <x v="146"/>
    <x v="0"/>
    <n v="5"/>
    <x v="2"/>
    <s v="No"/>
    <s v="-"/>
    <s v="No"/>
    <n v="0"/>
    <n v="0"/>
    <x v="1"/>
  </r>
  <r>
    <n v="3379"/>
    <s v="Luciana Santos"/>
    <x v="0"/>
    <x v="147"/>
    <x v="1"/>
    <n v="15"/>
    <x v="0"/>
    <s v="Yes"/>
    <n v="30"/>
    <s v="Yes"/>
    <n v="20"/>
    <n v="3"/>
    <x v="3"/>
  </r>
  <r>
    <n v="3380"/>
    <s v="Marcos Teixeira"/>
    <x v="2"/>
    <x v="148"/>
    <x v="0"/>
    <n v="10"/>
    <x v="1"/>
    <s v="No"/>
    <s v="-"/>
    <s v="Yes"/>
    <n v="20"/>
    <n v="15"/>
    <x v="7"/>
  </r>
  <r>
    <n v="3381"/>
    <s v="Natalia Costa"/>
    <x v="1"/>
    <x v="149"/>
    <x v="1"/>
    <n v="5"/>
    <x v="0"/>
    <s v="No"/>
    <s v="-"/>
    <s v="No"/>
    <n v="0"/>
    <n v="1"/>
    <x v="4"/>
  </r>
  <r>
    <n v="3382"/>
    <s v="Oscar Ribeiro"/>
    <x v="0"/>
    <x v="150"/>
    <x v="0"/>
    <n v="15"/>
    <x v="2"/>
    <s v="Yes"/>
    <n v="30"/>
    <s v="Yes"/>
    <n v="20"/>
    <n v="7"/>
    <x v="12"/>
  </r>
  <r>
    <n v="3383"/>
    <s v="Patricia Almeida"/>
    <x v="2"/>
    <x v="151"/>
    <x v="1"/>
    <n v="10"/>
    <x v="0"/>
    <s v="No"/>
    <s v="-"/>
    <s v="Yes"/>
    <n v="20"/>
    <n v="10"/>
    <x v="2"/>
  </r>
  <r>
    <n v="3384"/>
    <s v="Quirino Junior"/>
    <x v="1"/>
    <x v="152"/>
    <x v="0"/>
    <n v="5"/>
    <x v="1"/>
    <s v="No"/>
    <s v="-"/>
    <s v="No"/>
    <n v="0"/>
    <n v="0"/>
    <x v="1"/>
  </r>
  <r>
    <n v="3385"/>
    <s v="Renata Machado"/>
    <x v="0"/>
    <x v="153"/>
    <x v="1"/>
    <n v="15"/>
    <x v="0"/>
    <s v="Yes"/>
    <n v="30"/>
    <s v="Yes"/>
    <n v="20"/>
    <n v="20"/>
    <x v="8"/>
  </r>
  <r>
    <n v="3386"/>
    <s v="Sônia Alves"/>
    <x v="2"/>
    <x v="154"/>
    <x v="0"/>
    <n v="10"/>
    <x v="2"/>
    <s v="No"/>
    <s v="-"/>
    <s v="Yes"/>
    <n v="20"/>
    <n v="15"/>
    <x v="7"/>
  </r>
  <r>
    <n v="3387"/>
    <s v="Tiago Nunes"/>
    <x v="1"/>
    <x v="155"/>
    <x v="1"/>
    <n v="5"/>
    <x v="0"/>
    <s v="No"/>
    <s v="-"/>
    <s v="No"/>
    <n v="0"/>
    <n v="1"/>
    <x v="4"/>
  </r>
  <r>
    <n v="3388"/>
    <s v="Ulysses Pereira"/>
    <x v="0"/>
    <x v="156"/>
    <x v="0"/>
    <n v="15"/>
    <x v="1"/>
    <s v="Yes"/>
    <n v="30"/>
    <s v="Yes"/>
    <n v="20"/>
    <n v="3"/>
    <x v="3"/>
  </r>
  <r>
    <n v="3389"/>
    <s v="Vanessa Lima"/>
    <x v="2"/>
    <x v="157"/>
    <x v="1"/>
    <n v="10"/>
    <x v="0"/>
    <s v="No"/>
    <s v="-"/>
    <s v="Yes"/>
    <n v="20"/>
    <n v="10"/>
    <x v="2"/>
  </r>
  <r>
    <n v="3390"/>
    <s v="Wagner Santos"/>
    <x v="1"/>
    <x v="158"/>
    <x v="0"/>
    <n v="5"/>
    <x v="2"/>
    <s v="No"/>
    <s v="-"/>
    <s v="No"/>
    <n v="0"/>
    <n v="0"/>
    <x v="1"/>
  </r>
  <r>
    <n v="3391"/>
    <s v="Xuxa Meneghel"/>
    <x v="0"/>
    <x v="159"/>
    <x v="1"/>
    <n v="15"/>
    <x v="0"/>
    <s v="Yes"/>
    <n v="30"/>
    <s v="Yes"/>
    <n v="20"/>
    <n v="15"/>
    <x v="14"/>
  </r>
  <r>
    <n v="3392"/>
    <s v="Yasmin Silva"/>
    <x v="2"/>
    <x v="160"/>
    <x v="0"/>
    <n v="10"/>
    <x v="1"/>
    <s v="No"/>
    <s v="-"/>
    <s v="Yes"/>
    <n v="20"/>
    <n v="15"/>
    <x v="7"/>
  </r>
  <r>
    <n v="3393"/>
    <s v="Zacarias de Souza"/>
    <x v="1"/>
    <x v="161"/>
    <x v="1"/>
    <n v="5"/>
    <x v="0"/>
    <s v="No"/>
    <s v="-"/>
    <s v="No"/>
    <n v="0"/>
    <n v="1"/>
    <x v="4"/>
  </r>
  <r>
    <n v="3394"/>
    <s v="André Lima"/>
    <x v="0"/>
    <x v="162"/>
    <x v="0"/>
    <n v="15"/>
    <x v="2"/>
    <s v="Yes"/>
    <n v="30"/>
    <s v="Yes"/>
    <n v="20"/>
    <n v="7"/>
    <x v="12"/>
  </r>
  <r>
    <n v="3395"/>
    <s v="Bianca Freitas"/>
    <x v="2"/>
    <x v="163"/>
    <x v="1"/>
    <n v="10"/>
    <x v="0"/>
    <s v="No"/>
    <s v="-"/>
    <s v="Yes"/>
    <n v="20"/>
    <n v="10"/>
    <x v="2"/>
  </r>
  <r>
    <n v="3396"/>
    <s v="Caio Mendes"/>
    <x v="1"/>
    <x v="164"/>
    <x v="0"/>
    <n v="5"/>
    <x v="1"/>
    <s v="No"/>
    <s v="-"/>
    <s v="No"/>
    <n v="0"/>
    <n v="0"/>
    <x v="1"/>
  </r>
  <r>
    <n v="3397"/>
    <s v="Daniela Moura"/>
    <x v="0"/>
    <x v="165"/>
    <x v="1"/>
    <n v="15"/>
    <x v="0"/>
    <s v="Yes"/>
    <n v="30"/>
    <s v="Yes"/>
    <n v="20"/>
    <n v="20"/>
    <x v="8"/>
  </r>
  <r>
    <n v="3398"/>
    <s v="Eduardo Costa"/>
    <x v="2"/>
    <x v="166"/>
    <x v="0"/>
    <n v="10"/>
    <x v="2"/>
    <s v="No"/>
    <s v="-"/>
    <s v="Yes"/>
    <n v="20"/>
    <n v="15"/>
    <x v="7"/>
  </r>
  <r>
    <n v="3399"/>
    <s v="Fernanda Gomes"/>
    <x v="1"/>
    <x v="167"/>
    <x v="1"/>
    <n v="5"/>
    <x v="0"/>
    <s v="No"/>
    <s v="-"/>
    <s v="No"/>
    <n v="0"/>
    <n v="1"/>
    <x v="4"/>
  </r>
  <r>
    <n v="3400"/>
    <s v="Guilherme Souza"/>
    <x v="0"/>
    <x v="168"/>
    <x v="0"/>
    <n v="15"/>
    <x v="1"/>
    <s v="Yes"/>
    <n v="30"/>
    <s v="Yes"/>
    <n v="20"/>
    <n v="5"/>
    <x v="0"/>
  </r>
  <r>
    <n v="3401"/>
    <s v="Helena Ribeiro"/>
    <x v="2"/>
    <x v="169"/>
    <x v="1"/>
    <n v="10"/>
    <x v="0"/>
    <s v="No"/>
    <s v="-"/>
    <s v="Yes"/>
    <n v="20"/>
    <n v="10"/>
    <x v="2"/>
  </r>
  <r>
    <n v="3402"/>
    <s v="Igor Santos"/>
    <x v="1"/>
    <x v="170"/>
    <x v="0"/>
    <n v="5"/>
    <x v="2"/>
    <s v="No"/>
    <s v="-"/>
    <s v="No"/>
    <n v="0"/>
    <n v="0"/>
    <x v="1"/>
  </r>
  <r>
    <n v="3403"/>
    <s v="João Carvalho"/>
    <x v="0"/>
    <x v="171"/>
    <x v="1"/>
    <n v="15"/>
    <x v="0"/>
    <s v="Yes"/>
    <n v="30"/>
    <s v="Yes"/>
    <n v="20"/>
    <n v="3"/>
    <x v="3"/>
  </r>
  <r>
    <n v="3404"/>
    <s v="Klara Fagundes"/>
    <x v="2"/>
    <x v="172"/>
    <x v="0"/>
    <n v="10"/>
    <x v="1"/>
    <s v="No"/>
    <s v="-"/>
    <s v="Yes"/>
    <n v="20"/>
    <n v="15"/>
    <x v="7"/>
  </r>
  <r>
    <n v="3405"/>
    <s v="Lúcia Mendonça"/>
    <x v="1"/>
    <x v="173"/>
    <x v="1"/>
    <n v="5"/>
    <x v="0"/>
    <s v="No"/>
    <s v="-"/>
    <s v="No"/>
    <n v="0"/>
    <n v="1"/>
    <x v="4"/>
  </r>
  <r>
    <n v="3406"/>
    <s v="Marcelo Novaes"/>
    <x v="1"/>
    <x v="174"/>
    <x v="0"/>
    <n v="5"/>
    <x v="0"/>
    <s v="No"/>
    <s v="-"/>
    <s v="No"/>
    <n v="0"/>
    <n v="0"/>
    <x v="1"/>
  </r>
  <r>
    <n v="3407"/>
    <s v="Nina Pacheco"/>
    <x v="0"/>
    <x v="175"/>
    <x v="1"/>
    <n v="15"/>
    <x v="2"/>
    <s v="Yes"/>
    <n v="30"/>
    <s v="Yes"/>
    <n v="20"/>
    <n v="7"/>
    <x v="12"/>
  </r>
  <r>
    <n v="3408"/>
    <s v="Olívia Rios"/>
    <x v="2"/>
    <x v="176"/>
    <x v="0"/>
    <n v="10"/>
    <x v="1"/>
    <s v="No"/>
    <s v="-"/>
    <s v="Yes"/>
    <n v="20"/>
    <n v="10"/>
    <x v="2"/>
  </r>
  <r>
    <n v="3409"/>
    <s v="Paulo Quintana"/>
    <x v="1"/>
    <x v="177"/>
    <x v="1"/>
    <n v="5"/>
    <x v="2"/>
    <s v="No"/>
    <s v="-"/>
    <s v="No"/>
    <n v="0"/>
    <n v="1"/>
    <x v="4"/>
  </r>
  <r>
    <n v="3410"/>
    <s v="Raquel Domingos"/>
    <x v="0"/>
    <x v="178"/>
    <x v="0"/>
    <n v="15"/>
    <x v="0"/>
    <s v="Yes"/>
    <n v="30"/>
    <s v="Yes"/>
    <n v="20"/>
    <n v="15"/>
    <x v="14"/>
  </r>
  <r>
    <n v="3411"/>
    <s v="Samuel Viana"/>
    <x v="2"/>
    <x v="179"/>
    <x v="1"/>
    <n v="10"/>
    <x v="0"/>
    <s v="No"/>
    <s v="-"/>
    <s v="Yes"/>
    <n v="20"/>
    <n v="5"/>
    <x v="13"/>
  </r>
  <r>
    <n v="3412"/>
    <s v="Tatiane Rocha"/>
    <x v="1"/>
    <x v="180"/>
    <x v="0"/>
    <n v="5"/>
    <x v="1"/>
    <s v="No"/>
    <s v="-"/>
    <s v="No"/>
    <n v="0"/>
    <n v="0"/>
    <x v="1"/>
  </r>
  <r>
    <n v="3413"/>
    <s v="Ulysses Farias"/>
    <x v="0"/>
    <x v="181"/>
    <x v="1"/>
    <n v="15"/>
    <x v="2"/>
    <s v="Yes"/>
    <n v="30"/>
    <s v="Yes"/>
    <n v="20"/>
    <n v="20"/>
    <x v="8"/>
  </r>
  <r>
    <n v="3414"/>
    <s v="Vanessa Moreira"/>
    <x v="2"/>
    <x v="182"/>
    <x v="0"/>
    <n v="10"/>
    <x v="2"/>
    <s v="No"/>
    <s v="-"/>
    <s v="Yes"/>
    <n v="20"/>
    <n v="12"/>
    <x v="10"/>
  </r>
  <r>
    <n v="3415"/>
    <s v="William Carvalho"/>
    <x v="1"/>
    <x v="183"/>
    <x v="1"/>
    <n v="5"/>
    <x v="0"/>
    <s v="No"/>
    <s v="-"/>
    <s v="No"/>
    <n v="0"/>
    <n v="2"/>
    <x v="11"/>
  </r>
  <r>
    <n v="3416"/>
    <s v="Ximena Barros"/>
    <x v="0"/>
    <x v="184"/>
    <x v="0"/>
    <n v="15"/>
    <x v="1"/>
    <s v="Yes"/>
    <n v="30"/>
    <s v="Yes"/>
    <n v="20"/>
    <n v="5"/>
    <x v="0"/>
  </r>
  <r>
    <n v="3417"/>
    <s v="Yara Machado"/>
    <x v="2"/>
    <x v="185"/>
    <x v="1"/>
    <n v="10"/>
    <x v="0"/>
    <s v="No"/>
    <s v="-"/>
    <s v="Yes"/>
    <n v="20"/>
    <n v="10"/>
    <x v="2"/>
  </r>
  <r>
    <n v="3418"/>
    <s v="Zacarias Costa"/>
    <x v="1"/>
    <x v="186"/>
    <x v="0"/>
    <n v="5"/>
    <x v="2"/>
    <s v="No"/>
    <s v="-"/>
    <s v="No"/>
    <n v="0"/>
    <n v="0"/>
    <x v="1"/>
  </r>
  <r>
    <n v="3419"/>
    <s v="André Lopes"/>
    <x v="0"/>
    <x v="187"/>
    <x v="1"/>
    <n v="15"/>
    <x v="0"/>
    <s v="Yes"/>
    <n v="30"/>
    <s v="Yes"/>
    <n v="20"/>
    <n v="3"/>
    <x v="3"/>
  </r>
  <r>
    <n v="3420"/>
    <s v="Beatriz Souza"/>
    <x v="2"/>
    <x v="188"/>
    <x v="0"/>
    <n v="10"/>
    <x v="1"/>
    <s v="No"/>
    <s v="-"/>
    <s v="Yes"/>
    <n v="20"/>
    <n v="15"/>
    <x v="7"/>
  </r>
  <r>
    <n v="3421"/>
    <s v="Caio Pereira"/>
    <x v="1"/>
    <x v="189"/>
    <x v="1"/>
    <n v="5"/>
    <x v="0"/>
    <s v="No"/>
    <s v="-"/>
    <s v="No"/>
    <n v="0"/>
    <n v="1"/>
    <x v="4"/>
  </r>
  <r>
    <n v="3422"/>
    <s v="Daniela Araújo"/>
    <x v="0"/>
    <x v="190"/>
    <x v="0"/>
    <n v="15"/>
    <x v="2"/>
    <s v="Yes"/>
    <n v="30"/>
    <s v="Yes"/>
    <n v="20"/>
    <n v="7"/>
    <x v="12"/>
  </r>
  <r>
    <n v="3423"/>
    <s v="Eduardo Santos"/>
    <x v="2"/>
    <x v="191"/>
    <x v="1"/>
    <n v="10"/>
    <x v="0"/>
    <s v="No"/>
    <s v="-"/>
    <s v="Yes"/>
    <n v="20"/>
    <n v="10"/>
    <x v="2"/>
  </r>
  <r>
    <n v="3424"/>
    <s v="Fernanda Lima"/>
    <x v="1"/>
    <x v="192"/>
    <x v="0"/>
    <n v="5"/>
    <x v="1"/>
    <s v="No"/>
    <s v="-"/>
    <s v="No"/>
    <n v="0"/>
    <n v="0"/>
    <x v="1"/>
  </r>
  <r>
    <n v="3425"/>
    <s v="Gabriel Teixeira"/>
    <x v="0"/>
    <x v="193"/>
    <x v="1"/>
    <n v="15"/>
    <x v="0"/>
    <s v="Yes"/>
    <n v="30"/>
    <s v="Yes"/>
    <n v="20"/>
    <n v="20"/>
    <x v="8"/>
  </r>
  <r>
    <n v="3426"/>
    <s v="Helena Ribeiro"/>
    <x v="2"/>
    <x v="194"/>
    <x v="0"/>
    <n v="10"/>
    <x v="2"/>
    <s v="No"/>
    <s v="-"/>
    <s v="Yes"/>
    <n v="20"/>
    <n v="15"/>
    <x v="7"/>
  </r>
  <r>
    <n v="3427"/>
    <s v="Igor Mendes"/>
    <x v="1"/>
    <x v="195"/>
    <x v="1"/>
    <n v="5"/>
    <x v="0"/>
    <s v="No"/>
    <s v="-"/>
    <s v="No"/>
    <n v="0"/>
    <n v="1"/>
    <x v="4"/>
  </r>
  <r>
    <n v="3428"/>
    <s v="Joana Silveira"/>
    <x v="0"/>
    <x v="196"/>
    <x v="0"/>
    <n v="15"/>
    <x v="1"/>
    <s v="Yes"/>
    <n v="30"/>
    <s v="Yes"/>
    <n v="20"/>
    <n v="3"/>
    <x v="3"/>
  </r>
  <r>
    <n v="3429"/>
    <s v="Lucas Martins"/>
    <x v="2"/>
    <x v="197"/>
    <x v="1"/>
    <n v="10"/>
    <x v="0"/>
    <s v="No"/>
    <s v="-"/>
    <s v="Yes"/>
    <n v="20"/>
    <n v="10"/>
    <x v="2"/>
  </r>
  <r>
    <n v="3430"/>
    <s v="Marcela Gouveia"/>
    <x v="1"/>
    <x v="198"/>
    <x v="0"/>
    <n v="5"/>
    <x v="2"/>
    <s v="No"/>
    <s v="-"/>
    <s v="No"/>
    <n v="0"/>
    <n v="0"/>
    <x v="1"/>
  </r>
  <r>
    <n v="3431"/>
    <s v="Nicolas Borges"/>
    <x v="0"/>
    <x v="199"/>
    <x v="1"/>
    <n v="15"/>
    <x v="0"/>
    <s v="Yes"/>
    <n v="30"/>
    <s v="Yes"/>
    <n v="20"/>
    <n v="15"/>
    <x v="14"/>
  </r>
  <r>
    <n v="3432"/>
    <s v="Olivia Freitas"/>
    <x v="2"/>
    <x v="200"/>
    <x v="0"/>
    <n v="10"/>
    <x v="1"/>
    <s v="No"/>
    <s v="-"/>
    <s v="Yes"/>
    <n v="20"/>
    <n v="15"/>
    <x v="7"/>
  </r>
  <r>
    <n v="3433"/>
    <s v="Paulo Nogueira"/>
    <x v="1"/>
    <x v="201"/>
    <x v="1"/>
    <n v="5"/>
    <x v="0"/>
    <s v="No"/>
    <s v="-"/>
    <s v="No"/>
    <n v="0"/>
    <n v="1"/>
    <x v="4"/>
  </r>
  <r>
    <n v="3434"/>
    <s v="Raquel Andrade"/>
    <x v="0"/>
    <x v="202"/>
    <x v="0"/>
    <n v="15"/>
    <x v="2"/>
    <s v="Yes"/>
    <n v="30"/>
    <s v="Yes"/>
    <n v="20"/>
    <n v="7"/>
    <x v="12"/>
  </r>
  <r>
    <n v="3435"/>
    <s v="Sônia Carvalho"/>
    <x v="2"/>
    <x v="203"/>
    <x v="1"/>
    <n v="10"/>
    <x v="0"/>
    <s v="No"/>
    <s v="-"/>
    <s v="Yes"/>
    <n v="20"/>
    <n v="10"/>
    <x v="2"/>
  </r>
  <r>
    <n v="3436"/>
    <s v="Tiago Rodrigues"/>
    <x v="1"/>
    <x v="204"/>
    <x v="0"/>
    <n v="5"/>
    <x v="0"/>
    <s v="No"/>
    <s v="-"/>
    <s v="No"/>
    <n v="0"/>
    <n v="0"/>
    <x v="1"/>
  </r>
  <r>
    <n v="3437"/>
    <s v="Ursula Monteiro"/>
    <x v="0"/>
    <x v="205"/>
    <x v="1"/>
    <n v="15"/>
    <x v="2"/>
    <s v="Yes"/>
    <n v="30"/>
    <s v="Yes"/>
    <n v="20"/>
    <n v="7"/>
    <x v="12"/>
  </r>
  <r>
    <n v="3438"/>
    <s v="Vanessa Pereira"/>
    <x v="2"/>
    <x v="206"/>
    <x v="0"/>
    <n v="10"/>
    <x v="1"/>
    <s v="No"/>
    <s v="-"/>
    <s v="Yes"/>
    <n v="20"/>
    <n v="10"/>
    <x v="2"/>
  </r>
  <r>
    <n v="3439"/>
    <s v="Walter Silva"/>
    <x v="1"/>
    <x v="207"/>
    <x v="1"/>
    <n v="5"/>
    <x v="2"/>
    <s v="No"/>
    <s v="-"/>
    <s v="No"/>
    <n v="0"/>
    <n v="1"/>
    <x v="4"/>
  </r>
  <r>
    <n v="3440"/>
    <s v="Xavier Almeida"/>
    <x v="0"/>
    <x v="208"/>
    <x v="0"/>
    <n v="15"/>
    <x v="0"/>
    <s v="Yes"/>
    <n v="30"/>
    <s v="Yes"/>
    <n v="20"/>
    <n v="15"/>
    <x v="14"/>
  </r>
  <r>
    <n v="3441"/>
    <s v="Yasmine Correia"/>
    <x v="2"/>
    <x v="209"/>
    <x v="1"/>
    <n v="10"/>
    <x v="0"/>
    <s v="No"/>
    <s v="-"/>
    <s v="Yes"/>
    <n v="20"/>
    <n v="5"/>
    <x v="13"/>
  </r>
  <r>
    <n v="3442"/>
    <s v="Zacarias Almeida"/>
    <x v="1"/>
    <x v="210"/>
    <x v="0"/>
    <n v="5"/>
    <x v="1"/>
    <s v="No"/>
    <s v="-"/>
    <s v="No"/>
    <n v="0"/>
    <n v="0"/>
    <x v="1"/>
  </r>
  <r>
    <n v="3443"/>
    <s v="Amanda Costa"/>
    <x v="0"/>
    <x v="211"/>
    <x v="1"/>
    <n v="15"/>
    <x v="2"/>
    <s v="Yes"/>
    <n v="30"/>
    <s v="Yes"/>
    <n v="20"/>
    <n v="20"/>
    <x v="8"/>
  </r>
  <r>
    <n v="3444"/>
    <s v="Bruno Ferreira"/>
    <x v="2"/>
    <x v="212"/>
    <x v="0"/>
    <n v="10"/>
    <x v="2"/>
    <s v="No"/>
    <s v="-"/>
    <s v="Yes"/>
    <n v="20"/>
    <n v="12"/>
    <x v="10"/>
  </r>
  <r>
    <n v="3445"/>
    <s v="Carla Dias"/>
    <x v="1"/>
    <x v="213"/>
    <x v="1"/>
    <n v="5"/>
    <x v="0"/>
    <s v="No"/>
    <s v="-"/>
    <s v="No"/>
    <n v="0"/>
    <n v="2"/>
    <x v="11"/>
  </r>
  <r>
    <n v="3446"/>
    <s v="Diogo Martins"/>
    <x v="0"/>
    <x v="214"/>
    <x v="0"/>
    <n v="15"/>
    <x v="1"/>
    <s v="Yes"/>
    <n v="30"/>
    <s v="Yes"/>
    <n v="20"/>
    <n v="5"/>
    <x v="0"/>
  </r>
  <r>
    <n v="3447"/>
    <s v="Elisa Campos"/>
    <x v="2"/>
    <x v="215"/>
    <x v="1"/>
    <n v="10"/>
    <x v="0"/>
    <s v="No"/>
    <s v="-"/>
    <s v="Yes"/>
    <n v="20"/>
    <n v="10"/>
    <x v="2"/>
  </r>
  <r>
    <n v="3448"/>
    <s v="Fabiana Lima"/>
    <x v="1"/>
    <x v="216"/>
    <x v="0"/>
    <n v="5"/>
    <x v="2"/>
    <s v="No"/>
    <s v="-"/>
    <s v="No"/>
    <n v="0"/>
    <n v="0"/>
    <x v="1"/>
  </r>
  <r>
    <n v="3449"/>
    <s v="Gabriel Santos"/>
    <x v="0"/>
    <x v="217"/>
    <x v="1"/>
    <n v="15"/>
    <x v="0"/>
    <s v="Yes"/>
    <n v="30"/>
    <s v="Yes"/>
    <n v="20"/>
    <n v="3"/>
    <x v="3"/>
  </r>
  <r>
    <n v="3450"/>
    <s v="Helena Ferreira"/>
    <x v="2"/>
    <x v="218"/>
    <x v="0"/>
    <n v="10"/>
    <x v="1"/>
    <s v="No"/>
    <s v="-"/>
    <s v="Yes"/>
    <n v="20"/>
    <n v="15"/>
    <x v="7"/>
  </r>
  <r>
    <n v="3451"/>
    <s v="Ígor Nunes"/>
    <x v="1"/>
    <x v="219"/>
    <x v="1"/>
    <n v="5"/>
    <x v="0"/>
    <s v="No"/>
    <s v="-"/>
    <s v="No"/>
    <n v="0"/>
    <n v="1"/>
    <x v="4"/>
  </r>
  <r>
    <n v="3452"/>
    <s v="Joana Silveira"/>
    <x v="0"/>
    <x v="220"/>
    <x v="0"/>
    <n v="15"/>
    <x v="2"/>
    <s v="Yes"/>
    <n v="30"/>
    <s v="Yes"/>
    <n v="20"/>
    <n v="7"/>
    <x v="12"/>
  </r>
  <r>
    <n v="3453"/>
    <s v="Kléber Oliveira"/>
    <x v="2"/>
    <x v="221"/>
    <x v="1"/>
    <n v="10"/>
    <x v="0"/>
    <s v="No"/>
    <s v="-"/>
    <s v="Yes"/>
    <n v="20"/>
    <n v="10"/>
    <x v="2"/>
  </r>
  <r>
    <n v="3454"/>
    <s v="Luciana Morais"/>
    <x v="1"/>
    <x v="222"/>
    <x v="0"/>
    <n v="5"/>
    <x v="1"/>
    <s v="No"/>
    <s v="-"/>
    <s v="No"/>
    <n v="0"/>
    <n v="0"/>
    <x v="1"/>
  </r>
  <r>
    <n v="3455"/>
    <s v="Marcos Vinícius"/>
    <x v="0"/>
    <x v="223"/>
    <x v="1"/>
    <n v="15"/>
    <x v="0"/>
    <s v="Yes"/>
    <n v="30"/>
    <s v="Yes"/>
    <n v="20"/>
    <n v="20"/>
    <x v="8"/>
  </r>
  <r>
    <n v="3456"/>
    <s v="Natália Barros"/>
    <x v="2"/>
    <x v="224"/>
    <x v="0"/>
    <n v="10"/>
    <x v="2"/>
    <s v="No"/>
    <s v="-"/>
    <s v="Yes"/>
    <n v="20"/>
    <n v="15"/>
    <x v="7"/>
  </r>
  <r>
    <n v="3457"/>
    <s v="Oscar Sampaio"/>
    <x v="1"/>
    <x v="225"/>
    <x v="1"/>
    <n v="5"/>
    <x v="0"/>
    <s v="No"/>
    <s v="-"/>
    <s v="No"/>
    <n v="0"/>
    <n v="1"/>
    <x v="4"/>
  </r>
  <r>
    <n v="3458"/>
    <s v="Patrícia Leite"/>
    <x v="0"/>
    <x v="226"/>
    <x v="0"/>
    <n v="15"/>
    <x v="1"/>
    <s v="Yes"/>
    <n v="30"/>
    <s v="Yes"/>
    <n v="20"/>
    <n v="3"/>
    <x v="3"/>
  </r>
  <r>
    <n v="3459"/>
    <s v="Quênia Rocha"/>
    <x v="2"/>
    <x v="227"/>
    <x v="1"/>
    <n v="10"/>
    <x v="0"/>
    <s v="No"/>
    <s v="-"/>
    <s v="Yes"/>
    <n v="20"/>
    <n v="10"/>
    <x v="2"/>
  </r>
  <r>
    <n v="3460"/>
    <s v="Rafael Torres"/>
    <x v="1"/>
    <x v="228"/>
    <x v="0"/>
    <n v="5"/>
    <x v="2"/>
    <s v="No"/>
    <s v="-"/>
    <s v="No"/>
    <n v="0"/>
    <n v="0"/>
    <x v="1"/>
  </r>
  <r>
    <n v="3461"/>
    <s v="Sandra Gouveia"/>
    <x v="0"/>
    <x v="229"/>
    <x v="1"/>
    <n v="15"/>
    <x v="0"/>
    <s v="Yes"/>
    <n v="30"/>
    <s v="Yes"/>
    <n v="20"/>
    <n v="15"/>
    <x v="14"/>
  </r>
  <r>
    <n v="3462"/>
    <s v="Tiago Lacerda"/>
    <x v="2"/>
    <x v="230"/>
    <x v="0"/>
    <n v="10"/>
    <x v="1"/>
    <s v="No"/>
    <s v="-"/>
    <s v="Yes"/>
    <n v="20"/>
    <n v="15"/>
    <x v="7"/>
  </r>
  <r>
    <n v="3463"/>
    <s v="Ursula Fonseca"/>
    <x v="1"/>
    <x v="231"/>
    <x v="1"/>
    <n v="5"/>
    <x v="0"/>
    <s v="No"/>
    <s v="-"/>
    <s v="No"/>
    <n v="0"/>
    <n v="1"/>
    <x v="4"/>
  </r>
  <r>
    <n v="3464"/>
    <s v="Vanessa Andrade"/>
    <x v="0"/>
    <x v="232"/>
    <x v="0"/>
    <n v="15"/>
    <x v="2"/>
    <s v="Yes"/>
    <n v="30"/>
    <s v="Yes"/>
    <n v="20"/>
    <n v="7"/>
    <x v="12"/>
  </r>
  <r>
    <n v="3465"/>
    <s v="William Castro"/>
    <x v="2"/>
    <x v="233"/>
    <x v="1"/>
    <n v="10"/>
    <x v="0"/>
    <s v="No"/>
    <s v="-"/>
    <s v="Yes"/>
    <n v="20"/>
    <n v="10"/>
    <x v="2"/>
  </r>
  <r>
    <n v="3466"/>
    <s v="Xavier Monteiro"/>
    <x v="1"/>
    <x v="234"/>
    <x v="0"/>
    <n v="5"/>
    <x v="1"/>
    <s v="No"/>
    <s v="-"/>
    <s v="No"/>
    <n v="0"/>
    <n v="0"/>
    <x v="1"/>
  </r>
  <r>
    <n v="3467"/>
    <s v="Yasmin Figueira"/>
    <x v="0"/>
    <x v="235"/>
    <x v="1"/>
    <n v="15"/>
    <x v="0"/>
    <s v="Yes"/>
    <n v="30"/>
    <s v="Yes"/>
    <n v="20"/>
    <n v="15"/>
    <x v="14"/>
  </r>
  <r>
    <n v="3468"/>
    <s v="Zacarias Mendonça"/>
    <x v="2"/>
    <x v="236"/>
    <x v="0"/>
    <n v="10"/>
    <x v="2"/>
    <s v="No"/>
    <s v="-"/>
    <s v="Yes"/>
    <n v="20"/>
    <n v="12"/>
    <x v="10"/>
  </r>
  <r>
    <n v="3469"/>
    <s v="Amanda Menezes"/>
    <x v="1"/>
    <x v="237"/>
    <x v="1"/>
    <n v="5"/>
    <x v="0"/>
    <s v="No"/>
    <s v="-"/>
    <s v="No"/>
    <n v="0"/>
    <n v="2"/>
    <x v="11"/>
  </r>
  <r>
    <n v="3470"/>
    <s v="Bruno Santos"/>
    <x v="0"/>
    <x v="238"/>
    <x v="0"/>
    <n v="15"/>
    <x v="1"/>
    <s v="Yes"/>
    <n v="30"/>
    <s v="Yes"/>
    <n v="20"/>
    <n v="5"/>
    <x v="0"/>
  </r>
  <r>
    <n v="3471"/>
    <s v="Carla Ferreira"/>
    <x v="2"/>
    <x v="239"/>
    <x v="1"/>
    <n v="10"/>
    <x v="0"/>
    <s v="No"/>
    <s v="-"/>
    <s v="Yes"/>
    <n v="20"/>
    <n v="10"/>
    <x v="2"/>
  </r>
  <r>
    <n v="3472"/>
    <s v="Diogo Alves"/>
    <x v="1"/>
    <x v="240"/>
    <x v="0"/>
    <n v="5"/>
    <x v="2"/>
    <s v="No"/>
    <s v="-"/>
    <s v="No"/>
    <n v="0"/>
    <n v="0"/>
    <x v="1"/>
  </r>
  <r>
    <n v="3473"/>
    <s v="Elisa Neves"/>
    <x v="0"/>
    <x v="241"/>
    <x v="1"/>
    <n v="15"/>
    <x v="0"/>
    <s v="Yes"/>
    <n v="30"/>
    <s v="Yes"/>
    <n v="20"/>
    <n v="3"/>
    <x v="3"/>
  </r>
  <r>
    <n v="3474"/>
    <s v="Fabiano Pires"/>
    <x v="2"/>
    <x v="242"/>
    <x v="0"/>
    <n v="10"/>
    <x v="1"/>
    <s v="No"/>
    <s v="-"/>
    <s v="Yes"/>
    <n v="20"/>
    <n v="15"/>
    <x v="7"/>
  </r>
  <r>
    <n v="3475"/>
    <s v="Giovana Ribeiro"/>
    <x v="1"/>
    <x v="243"/>
    <x v="1"/>
    <n v="5"/>
    <x v="0"/>
    <s v="No"/>
    <s v="-"/>
    <s v="No"/>
    <n v="0"/>
    <n v="1"/>
    <x v="4"/>
  </r>
  <r>
    <n v="3476"/>
    <s v="Hélio Costa"/>
    <x v="0"/>
    <x v="244"/>
    <x v="0"/>
    <n v="15"/>
    <x v="2"/>
    <s v="Yes"/>
    <n v="30"/>
    <s v="Yes"/>
    <n v="20"/>
    <n v="7"/>
    <x v="12"/>
  </r>
  <r>
    <n v="3477"/>
    <s v="Íris Loureiro"/>
    <x v="2"/>
    <x v="245"/>
    <x v="1"/>
    <n v="10"/>
    <x v="0"/>
    <s v="No"/>
    <s v="-"/>
    <s v="Yes"/>
    <n v="20"/>
    <n v="10"/>
    <x v="2"/>
  </r>
  <r>
    <n v="3478"/>
    <s v="João Pereira"/>
    <x v="1"/>
    <x v="246"/>
    <x v="0"/>
    <n v="5"/>
    <x v="1"/>
    <s v="No"/>
    <s v="-"/>
    <s v="No"/>
    <n v="0"/>
    <n v="0"/>
    <x v="1"/>
  </r>
  <r>
    <n v="3479"/>
    <s v="Klara Silva"/>
    <x v="0"/>
    <x v="247"/>
    <x v="1"/>
    <n v="15"/>
    <x v="0"/>
    <s v="Yes"/>
    <n v="30"/>
    <s v="Yes"/>
    <n v="20"/>
    <n v="20"/>
    <x v="8"/>
  </r>
  <r>
    <n v="3480"/>
    <s v="Luciana Barros"/>
    <x v="2"/>
    <x v="248"/>
    <x v="0"/>
    <n v="10"/>
    <x v="2"/>
    <s v="No"/>
    <s v="-"/>
    <s v="Yes"/>
    <n v="20"/>
    <n v="15"/>
    <x v="7"/>
  </r>
  <r>
    <n v="3481"/>
    <s v="Marcos Gomes"/>
    <x v="1"/>
    <x v="249"/>
    <x v="1"/>
    <n v="5"/>
    <x v="0"/>
    <s v="No"/>
    <s v="-"/>
    <s v="No"/>
    <n v="0"/>
    <n v="1"/>
    <x v="4"/>
  </r>
  <r>
    <n v="3482"/>
    <s v="Natália Soares"/>
    <x v="0"/>
    <x v="250"/>
    <x v="0"/>
    <n v="15"/>
    <x v="1"/>
    <s v="Yes"/>
    <n v="30"/>
    <s v="Yes"/>
    <n v="20"/>
    <n v="3"/>
    <x v="3"/>
  </r>
  <r>
    <n v="3483"/>
    <s v="Oscar Machado"/>
    <x v="2"/>
    <x v="251"/>
    <x v="1"/>
    <n v="10"/>
    <x v="0"/>
    <s v="No"/>
    <s v="-"/>
    <s v="Yes"/>
    <n v="20"/>
    <n v="10"/>
    <x v="2"/>
  </r>
  <r>
    <n v="3484"/>
    <s v="Patrícia Lima"/>
    <x v="1"/>
    <x v="252"/>
    <x v="0"/>
    <n v="5"/>
    <x v="2"/>
    <s v="No"/>
    <s v="-"/>
    <s v="No"/>
    <n v="0"/>
    <n v="0"/>
    <x v="1"/>
  </r>
  <r>
    <n v="3485"/>
    <s v="Quirino Neto"/>
    <x v="0"/>
    <x v="253"/>
    <x v="1"/>
    <n v="15"/>
    <x v="0"/>
    <s v="Yes"/>
    <n v="30"/>
    <s v="Yes"/>
    <n v="20"/>
    <n v="15"/>
    <x v="14"/>
  </r>
  <r>
    <n v="3486"/>
    <s v="Rafaela Souza"/>
    <x v="1"/>
    <x v="254"/>
    <x v="0"/>
    <n v="5"/>
    <x v="0"/>
    <s v="No"/>
    <s v="-"/>
    <s v="No"/>
    <n v="0"/>
    <n v="0"/>
    <x v="1"/>
  </r>
  <r>
    <n v="3487"/>
    <s v="Sandro Almeida"/>
    <x v="0"/>
    <x v="255"/>
    <x v="1"/>
    <n v="15"/>
    <x v="2"/>
    <s v="Yes"/>
    <n v="30"/>
    <s v="Yes"/>
    <n v="20"/>
    <n v="7"/>
    <x v="12"/>
  </r>
  <r>
    <n v="3488"/>
    <s v="Tânia Ribeiro"/>
    <x v="2"/>
    <x v="256"/>
    <x v="0"/>
    <n v="10"/>
    <x v="1"/>
    <s v="No"/>
    <s v="-"/>
    <s v="Yes"/>
    <n v="20"/>
    <n v="10"/>
    <x v="2"/>
  </r>
  <r>
    <n v="3489"/>
    <s v="Ugo Dias"/>
    <x v="1"/>
    <x v="257"/>
    <x v="1"/>
    <n v="5"/>
    <x v="2"/>
    <s v="No"/>
    <s v="-"/>
    <s v="No"/>
    <n v="0"/>
    <n v="1"/>
    <x v="4"/>
  </r>
  <r>
    <n v="3490"/>
    <s v="Valéria Lima"/>
    <x v="0"/>
    <x v="258"/>
    <x v="0"/>
    <n v="15"/>
    <x v="0"/>
    <s v="Yes"/>
    <n v="30"/>
    <s v="Yes"/>
    <n v="20"/>
    <n v="15"/>
    <x v="14"/>
  </r>
  <r>
    <n v="3491"/>
    <s v="William Fernandes"/>
    <x v="2"/>
    <x v="259"/>
    <x v="1"/>
    <n v="10"/>
    <x v="0"/>
    <s v="No"/>
    <s v="-"/>
    <s v="Yes"/>
    <n v="20"/>
    <n v="5"/>
    <x v="13"/>
  </r>
  <r>
    <n v="3492"/>
    <s v="Xuxa Mendes"/>
    <x v="1"/>
    <x v="260"/>
    <x v="0"/>
    <n v="5"/>
    <x v="1"/>
    <s v="No"/>
    <s v="-"/>
    <s v="No"/>
    <n v="0"/>
    <n v="0"/>
    <x v="1"/>
  </r>
  <r>
    <n v="3493"/>
    <s v="Ygor Farias"/>
    <x v="0"/>
    <x v="261"/>
    <x v="1"/>
    <n v="15"/>
    <x v="2"/>
    <s v="Yes"/>
    <n v="30"/>
    <s v="Yes"/>
    <n v="20"/>
    <n v="20"/>
    <x v="8"/>
  </r>
  <r>
    <n v="3494"/>
    <s v="Zilda Barros"/>
    <x v="2"/>
    <x v="262"/>
    <x v="0"/>
    <n v="10"/>
    <x v="2"/>
    <s v="No"/>
    <s v="-"/>
    <s v="Yes"/>
    <n v="20"/>
    <n v="12"/>
    <x v="10"/>
  </r>
  <r>
    <n v="3495"/>
    <s v="Amanda Santos"/>
    <x v="1"/>
    <x v="263"/>
    <x v="1"/>
    <n v="5"/>
    <x v="0"/>
    <s v="No"/>
    <s v="-"/>
    <s v="No"/>
    <n v="0"/>
    <n v="2"/>
    <x v="11"/>
  </r>
  <r>
    <n v="3496"/>
    <s v="Bruno Costa"/>
    <x v="0"/>
    <x v="264"/>
    <x v="0"/>
    <n v="15"/>
    <x v="1"/>
    <s v="Yes"/>
    <n v="30"/>
    <s v="Yes"/>
    <n v="20"/>
    <n v="5"/>
    <x v="0"/>
  </r>
  <r>
    <n v="3497"/>
    <s v="Carla Rodrigues"/>
    <x v="2"/>
    <x v="265"/>
    <x v="1"/>
    <n v="10"/>
    <x v="0"/>
    <s v="No"/>
    <s v="-"/>
    <s v="Yes"/>
    <n v="20"/>
    <n v="10"/>
    <x v="2"/>
  </r>
  <r>
    <n v="3498"/>
    <s v="Diogo Pereira"/>
    <x v="1"/>
    <x v="266"/>
    <x v="0"/>
    <n v="5"/>
    <x v="2"/>
    <s v="No"/>
    <s v="-"/>
    <s v="No"/>
    <n v="0"/>
    <n v="0"/>
    <x v="1"/>
  </r>
  <r>
    <n v="3499"/>
    <s v="Elisa Correia"/>
    <x v="0"/>
    <x v="267"/>
    <x v="1"/>
    <n v="15"/>
    <x v="0"/>
    <s v="Yes"/>
    <n v="30"/>
    <s v="Yes"/>
    <n v="20"/>
    <n v="3"/>
    <x v="3"/>
  </r>
  <r>
    <n v="3500"/>
    <s v="Fábio Lourenço"/>
    <x v="2"/>
    <x v="268"/>
    <x v="0"/>
    <n v="10"/>
    <x v="1"/>
    <s v="No"/>
    <s v="-"/>
    <s v="Yes"/>
    <n v="20"/>
    <n v="15"/>
    <x v="7"/>
  </r>
  <r>
    <n v="3501"/>
    <s v="Gabriela Neves"/>
    <x v="1"/>
    <x v="269"/>
    <x v="1"/>
    <n v="5"/>
    <x v="0"/>
    <s v="No"/>
    <s v="-"/>
    <s v="No"/>
    <n v="0"/>
    <n v="1"/>
    <x v="4"/>
  </r>
  <r>
    <n v="3502"/>
    <s v="Henrique Gonçalves"/>
    <x v="0"/>
    <x v="270"/>
    <x v="0"/>
    <n v="15"/>
    <x v="2"/>
    <s v="Yes"/>
    <n v="30"/>
    <s v="Yes"/>
    <n v="20"/>
    <n v="7"/>
    <x v="12"/>
  </r>
  <r>
    <n v="3503"/>
    <s v="Íris Santos"/>
    <x v="2"/>
    <x v="271"/>
    <x v="1"/>
    <n v="10"/>
    <x v="0"/>
    <s v="No"/>
    <s v="-"/>
    <s v="Yes"/>
    <n v="20"/>
    <n v="10"/>
    <x v="2"/>
  </r>
  <r>
    <n v="3504"/>
    <s v="João Marcelo Alves"/>
    <x v="1"/>
    <x v="272"/>
    <x v="0"/>
    <n v="5"/>
    <x v="1"/>
    <s v="No"/>
    <s v="-"/>
    <s v="No"/>
    <n v="0"/>
    <n v="0"/>
    <x v="1"/>
  </r>
  <r>
    <n v="3505"/>
    <s v="Klara Fonseca"/>
    <x v="0"/>
    <x v="273"/>
    <x v="1"/>
    <n v="15"/>
    <x v="0"/>
    <s v="Yes"/>
    <n v="30"/>
    <s v="Yes"/>
    <n v="20"/>
    <n v="20"/>
    <x v="8"/>
  </r>
  <r>
    <n v="3506"/>
    <s v="Lucas Mendonça"/>
    <x v="2"/>
    <x v="274"/>
    <x v="0"/>
    <n v="10"/>
    <x v="2"/>
    <s v="No"/>
    <s v="-"/>
    <s v="Yes"/>
    <n v="20"/>
    <n v="15"/>
    <x v="7"/>
  </r>
  <r>
    <n v="3507"/>
    <s v="Marcela Torres"/>
    <x v="1"/>
    <x v="275"/>
    <x v="1"/>
    <n v="5"/>
    <x v="0"/>
    <s v="No"/>
    <s v="-"/>
    <s v="No"/>
    <n v="0"/>
    <n v="1"/>
    <x v="4"/>
  </r>
  <r>
    <n v="3508"/>
    <s v="Natália Castro"/>
    <x v="0"/>
    <x v="276"/>
    <x v="0"/>
    <n v="15"/>
    <x v="1"/>
    <s v="Yes"/>
    <n v="30"/>
    <s v="Yes"/>
    <n v="20"/>
    <n v="3"/>
    <x v="3"/>
  </r>
  <r>
    <n v="3509"/>
    <s v="Oscar Martins"/>
    <x v="2"/>
    <x v="277"/>
    <x v="1"/>
    <n v="10"/>
    <x v="0"/>
    <s v="No"/>
    <s v="-"/>
    <s v="Yes"/>
    <n v="20"/>
    <n v="10"/>
    <x v="2"/>
  </r>
  <r>
    <n v="3510"/>
    <s v="Patrícia Oliveira"/>
    <x v="1"/>
    <x v="278"/>
    <x v="0"/>
    <n v="5"/>
    <x v="2"/>
    <s v="No"/>
    <s v="-"/>
    <s v="No"/>
    <n v="0"/>
    <n v="0"/>
    <x v="1"/>
  </r>
  <r>
    <n v="3511"/>
    <s v="Quentin Nogueira"/>
    <x v="0"/>
    <x v="279"/>
    <x v="1"/>
    <n v="15"/>
    <x v="0"/>
    <s v="Yes"/>
    <n v="30"/>
    <s v="Yes"/>
    <n v="20"/>
    <n v="15"/>
    <x v="14"/>
  </r>
  <r>
    <n v="3512"/>
    <s v="Raquel Silva"/>
    <x v="2"/>
    <x v="280"/>
    <x v="0"/>
    <n v="10"/>
    <x v="1"/>
    <s v="No"/>
    <s v="-"/>
    <s v="Yes"/>
    <n v="20"/>
    <n v="15"/>
    <x v="7"/>
  </r>
  <r>
    <n v="3513"/>
    <s v="Sandro Gomes"/>
    <x v="1"/>
    <x v="281"/>
    <x v="1"/>
    <n v="5"/>
    <x v="0"/>
    <s v="No"/>
    <s v="-"/>
    <s v="No"/>
    <n v="0"/>
    <n v="1"/>
    <x v="4"/>
  </r>
  <r>
    <n v="3514"/>
    <s v="Tânia Machado"/>
    <x v="0"/>
    <x v="282"/>
    <x v="0"/>
    <n v="15"/>
    <x v="2"/>
    <s v="Yes"/>
    <n v="30"/>
    <s v="Yes"/>
    <n v="20"/>
    <n v="7"/>
    <x v="12"/>
  </r>
  <r>
    <n v="3515"/>
    <s v="Ursula Silva"/>
    <x v="2"/>
    <x v="283"/>
    <x v="1"/>
    <n v="10"/>
    <x v="0"/>
    <s v="No"/>
    <s v="-"/>
    <s v="Yes"/>
    <n v="20"/>
    <n v="10"/>
    <x v="2"/>
  </r>
  <r>
    <n v="3516"/>
    <s v="Vanessa Moraes"/>
    <x v="1"/>
    <x v="284"/>
    <x v="0"/>
    <n v="5"/>
    <x v="1"/>
    <s v="No"/>
    <s v="-"/>
    <s v="No"/>
    <n v="0"/>
    <n v="0"/>
    <x v="1"/>
  </r>
  <r>
    <n v="3517"/>
    <s v="William Carvalho"/>
    <x v="0"/>
    <x v="285"/>
    <x v="1"/>
    <n v="15"/>
    <x v="0"/>
    <s v="Yes"/>
    <n v="30"/>
    <s v="Yes"/>
    <n v="20"/>
    <n v="20"/>
    <x v="8"/>
  </r>
  <r>
    <n v="3518"/>
    <s v="Xavier Reis"/>
    <x v="2"/>
    <x v="286"/>
    <x v="0"/>
    <n v="10"/>
    <x v="2"/>
    <s v="No"/>
    <s v="-"/>
    <s v="Yes"/>
    <n v="20"/>
    <n v="12"/>
    <x v="10"/>
  </r>
  <r>
    <n v="3519"/>
    <s v="Yasmin Rocha"/>
    <x v="1"/>
    <x v="287"/>
    <x v="1"/>
    <n v="5"/>
    <x v="0"/>
    <s v="No"/>
    <s v="-"/>
    <s v="No"/>
    <n v="0"/>
    <n v="2"/>
    <x v="11"/>
  </r>
  <r>
    <n v="3520"/>
    <s v="Zacarias Duarte"/>
    <x v="0"/>
    <x v="288"/>
    <x v="0"/>
    <n v="15"/>
    <x v="1"/>
    <s v="Yes"/>
    <n v="30"/>
    <s v="Yes"/>
    <n v="20"/>
    <n v="5"/>
    <x v="0"/>
  </r>
  <r>
    <n v="3521"/>
    <s v="Amanda Freitas"/>
    <x v="2"/>
    <x v="289"/>
    <x v="1"/>
    <n v="10"/>
    <x v="0"/>
    <s v="No"/>
    <s v="-"/>
    <s v="Yes"/>
    <n v="20"/>
    <n v="10"/>
    <x v="2"/>
  </r>
  <r>
    <n v="3522"/>
    <s v="Bruno Almeida"/>
    <x v="1"/>
    <x v="290"/>
    <x v="0"/>
    <n v="5"/>
    <x v="2"/>
    <s v="No"/>
    <s v="-"/>
    <s v="No"/>
    <n v="0"/>
    <n v="0"/>
    <x v="1"/>
  </r>
  <r>
    <n v="3523"/>
    <s v="Carla Siqueira"/>
    <x v="0"/>
    <x v="291"/>
    <x v="1"/>
    <n v="15"/>
    <x v="0"/>
    <s v="Yes"/>
    <n v="30"/>
    <s v="Yes"/>
    <n v="20"/>
    <n v="3"/>
    <x v="3"/>
  </r>
  <r>
    <n v="3524"/>
    <s v="Diogo Ramos"/>
    <x v="2"/>
    <x v="292"/>
    <x v="0"/>
    <n v="10"/>
    <x v="1"/>
    <s v="No"/>
    <s v="-"/>
    <s v="Yes"/>
    <n v="20"/>
    <n v="15"/>
    <x v="7"/>
  </r>
  <r>
    <n v="3525"/>
    <s v="Elisa Magalhães"/>
    <x v="1"/>
    <x v="293"/>
    <x v="1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7BC2A-1916-4C52-A72D-19F8FE7A9877}" name="Tabela dinâmica3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G12:H16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E1AAF-0E93-4111-917A-9CF1A9340CC5}" name="Tabela dinâmica1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G7:G8" firstHeaderRow="1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26DDB-6698-4DEB-8FB0-D7633992C5A1}" name="tbl_annual_valu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2:D15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A760A-E2AA-4C71-A1C0-5CE8F95C96C2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1:D3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D00A0-B9B4-474B-BAAF-71C9440B29BF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0:D24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996D724-7A5B-4352-B613-A522A498D9A2}" sourceName="Subscription Type">
  <pivotTables>
    <pivotTable tabId="3" name="tbl_annual_value"/>
    <pivotTable tabId="3" name="Tabela dinâmica2"/>
    <pivotTable tabId="3" name="Tabela dinâmica5"/>
    <pivotTable tabId="3" name="Tabela dinâmica1"/>
    <pivotTable tabId="3" name="Tabela dinâmica3"/>
  </pivotTables>
  <data>
    <tabular pivotCacheId="1292287029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EEF9325-4B51-46E2-9BDD-938B8932C9F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7:J35"/>
  <sheetViews>
    <sheetView showGridLines="0" zoomScale="130" zoomScaleNormal="130" workbookViewId="0">
      <selection activeCell="H8" sqref="H8"/>
    </sheetView>
  </sheetViews>
  <sheetFormatPr defaultRowHeight="15" x14ac:dyDescent="0.25"/>
  <cols>
    <col min="3" max="3" width="18.42578125" bestFit="1" customWidth="1"/>
    <col min="4" max="4" width="27.7109375" bestFit="1" customWidth="1"/>
    <col min="5" max="5" width="6.28515625" customWidth="1"/>
    <col min="6" max="6" width="19.140625" bestFit="1" customWidth="1"/>
    <col min="7" max="7" width="26.5703125" bestFit="1" customWidth="1"/>
    <col min="8" max="8" width="22.14062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7" spans="3:10" x14ac:dyDescent="0.25">
      <c r="G7" t="s">
        <v>322</v>
      </c>
      <c r="I7" s="13"/>
      <c r="J7" s="14"/>
    </row>
    <row r="8" spans="3:10" x14ac:dyDescent="0.25">
      <c r="G8" s="14">
        <v>1646</v>
      </c>
      <c r="H8" s="16">
        <f>GETPIVOTDATA("Coupon Value",$G$7)</f>
        <v>1646</v>
      </c>
      <c r="I8" s="13"/>
      <c r="J8" s="14"/>
    </row>
    <row r="9" spans="3:10" x14ac:dyDescent="0.25">
      <c r="I9" s="13"/>
      <c r="J9" s="14"/>
    </row>
    <row r="10" spans="3:10" x14ac:dyDescent="0.25">
      <c r="C10" s="12" t="s">
        <v>16</v>
      </c>
      <c r="D10" t="s">
        <v>319</v>
      </c>
      <c r="I10" s="23"/>
      <c r="J10" s="24"/>
    </row>
    <row r="12" spans="3:10" x14ac:dyDescent="0.25">
      <c r="C12" s="12" t="s">
        <v>313</v>
      </c>
      <c r="D12" t="s">
        <v>315</v>
      </c>
      <c r="G12" s="12" t="s">
        <v>313</v>
      </c>
      <c r="H12" t="s">
        <v>315</v>
      </c>
    </row>
    <row r="13" spans="3:10" x14ac:dyDescent="0.25">
      <c r="C13" s="13" t="s">
        <v>23</v>
      </c>
      <c r="D13" s="14">
        <v>3630</v>
      </c>
      <c r="G13" s="13" t="s">
        <v>22</v>
      </c>
      <c r="H13" s="14">
        <v>324</v>
      </c>
    </row>
    <row r="14" spans="3:10" x14ac:dyDescent="0.25">
      <c r="C14" s="13" t="s">
        <v>19</v>
      </c>
      <c r="D14" s="14">
        <v>2249</v>
      </c>
      <c r="G14" s="13" t="s">
        <v>26</v>
      </c>
      <c r="H14" s="14">
        <v>1353</v>
      </c>
    </row>
    <row r="15" spans="3:10" x14ac:dyDescent="0.25">
      <c r="C15" s="13" t="s">
        <v>314</v>
      </c>
      <c r="D15" s="14">
        <v>5879</v>
      </c>
      <c r="G15" s="13" t="s">
        <v>18</v>
      </c>
      <c r="H15" s="14">
        <v>4202</v>
      </c>
    </row>
    <row r="16" spans="3:10" x14ac:dyDescent="0.25">
      <c r="G16" s="13" t="s">
        <v>314</v>
      </c>
      <c r="H16" s="14">
        <v>5879</v>
      </c>
    </row>
    <row r="18" spans="3:7" x14ac:dyDescent="0.25">
      <c r="C18" s="12" t="s">
        <v>16</v>
      </c>
      <c r="D18" t="s">
        <v>319</v>
      </c>
    </row>
    <row r="20" spans="3:7" x14ac:dyDescent="0.25">
      <c r="C20" s="12" t="s">
        <v>313</v>
      </c>
      <c r="D20" t="s">
        <v>318</v>
      </c>
    </row>
    <row r="21" spans="3:7" x14ac:dyDescent="0.25">
      <c r="C21" s="13" t="s">
        <v>22</v>
      </c>
      <c r="D21" s="22">
        <v>0</v>
      </c>
    </row>
    <row r="22" spans="3:7" x14ac:dyDescent="0.25">
      <c r="C22" s="13" t="s">
        <v>26</v>
      </c>
      <c r="D22" s="22">
        <v>0</v>
      </c>
    </row>
    <row r="23" spans="3:7" x14ac:dyDescent="0.25">
      <c r="C23" s="13" t="s">
        <v>18</v>
      </c>
      <c r="D23" s="22">
        <v>2340</v>
      </c>
    </row>
    <row r="24" spans="3:7" x14ac:dyDescent="0.25">
      <c r="C24" s="13" t="s">
        <v>314</v>
      </c>
      <c r="D24" s="22">
        <v>2340</v>
      </c>
      <c r="G24" s="16">
        <f>GETPIVOTDATA("EA Play Season Pass
Price",$C$20)</f>
        <v>2340</v>
      </c>
    </row>
    <row r="29" spans="3:7" x14ac:dyDescent="0.25">
      <c r="C29" s="12" t="s">
        <v>16</v>
      </c>
      <c r="D29" t="s">
        <v>319</v>
      </c>
    </row>
    <row r="31" spans="3:7" x14ac:dyDescent="0.25">
      <c r="C31" s="12" t="s">
        <v>313</v>
      </c>
      <c r="D31" t="s">
        <v>317</v>
      </c>
    </row>
    <row r="32" spans="3:7" x14ac:dyDescent="0.25">
      <c r="C32" s="13" t="s">
        <v>22</v>
      </c>
      <c r="D32" s="14">
        <v>0</v>
      </c>
    </row>
    <row r="33" spans="3:7" x14ac:dyDescent="0.25">
      <c r="C33" s="13" t="s">
        <v>26</v>
      </c>
      <c r="D33" s="14">
        <v>1380</v>
      </c>
    </row>
    <row r="34" spans="3:7" x14ac:dyDescent="0.25">
      <c r="C34" s="13" t="s">
        <v>18</v>
      </c>
      <c r="D34" s="14">
        <v>1560</v>
      </c>
    </row>
    <row r="35" spans="3:7" x14ac:dyDescent="0.25">
      <c r="C35" s="13" t="s">
        <v>314</v>
      </c>
      <c r="D35" s="14">
        <v>2940</v>
      </c>
      <c r="G35" s="16">
        <f>GETPIVOTDATA("Minecraft Season Pass Price",$C$31)</f>
        <v>2940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R233"/>
  <sheetViews>
    <sheetView showGridLines="0" tabSelected="1" zoomScale="85" zoomScaleNormal="85" workbookViewId="0">
      <selection activeCell="AG19" sqref="AG19"/>
    </sheetView>
  </sheetViews>
  <sheetFormatPr defaultRowHeight="15" x14ac:dyDescent="0.25"/>
  <cols>
    <col min="1" max="1" width="34" style="4" customWidth="1"/>
    <col min="2" max="2" width="3.5703125" customWidth="1"/>
    <col min="12" max="12" width="6.5703125" customWidth="1"/>
  </cols>
  <sheetData>
    <row r="2" spans="1:44" ht="25.5" customHeight="1" thickBot="1" x14ac:dyDescent="0.45">
      <c r="C2" s="19" t="s">
        <v>316</v>
      </c>
      <c r="D2" s="18"/>
      <c r="E2" s="17"/>
      <c r="F2" s="18"/>
      <c r="G2" s="18"/>
      <c r="H2" s="18"/>
      <c r="I2" s="15"/>
      <c r="J2" s="15"/>
      <c r="K2" s="15"/>
      <c r="L2" s="15"/>
      <c r="M2" s="15"/>
      <c r="N2" s="15"/>
      <c r="O2" s="15"/>
      <c r="P2" s="15"/>
    </row>
    <row r="3" spans="1:44" ht="23.25" customHeight="1" thickTop="1" x14ac:dyDescent="0.25"/>
    <row r="4" spans="1:44" ht="19.5" customHeight="1" x14ac:dyDescent="0.25">
      <c r="B4" s="7"/>
      <c r="C4" s="20" t="s">
        <v>320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ht="26.25" customHeight="1" x14ac:dyDescent="0.3">
      <c r="A5" s="21" t="s">
        <v>321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2:4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2:4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2:4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2:4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2:4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2:4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2:4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2:4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2:44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2:4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2:44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2:44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2:4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2:44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2:44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2:4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2:44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2:44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2:4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2:44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2:44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2:4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2:4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2:4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2:4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2:44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2:44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2:4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2:44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2:44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2:4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2:44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2:44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2:4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2:4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2:4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2:4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2:4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2:4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2:4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2:4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2:4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2:44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2:44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2:44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2:4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2:44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2:4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2:4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2:44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2:44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2:44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2:44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2:44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2:44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2:44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2:44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2:44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2:44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2:44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2:44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2:44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2:44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2:44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2:44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2:44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2:44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2:44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2:44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2:44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2:44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2:44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2:44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2:44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2:44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2:44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2:44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2:44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2:44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2:44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2:44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2:44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2:44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2:44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2:44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2:44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2:44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2:44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2:44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2:44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2:44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2:44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2:44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2:44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2:44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2:44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2:44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2:44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2:44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2:44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2:44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2:44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2:44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2:44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2:44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2:44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2:44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2:44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2:44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2:44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2:44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2:44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2:44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2:44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2:44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2:44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2:44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2:44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2:44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2:44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2:44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2:44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2:44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2:44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2:44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2:44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2:44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2:44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2:44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2:44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2:44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2:44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2:44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2:44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2:44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2:44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2:44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2:44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2:44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2:44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2:44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2:44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2:44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2:44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2:44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2:44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2:44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2:44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2:44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2:44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2:44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2:44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2:44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2:44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2:44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2:44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2:44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2:44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2:44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2:44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2:44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2:44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2:44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2:44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2:44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2:44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2:44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2:44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2:44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2:44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2:44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2:44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2:44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2:44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2:44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2:44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2:44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2:44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2:44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2:44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2:44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2:44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2:44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2:44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2:44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2:44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2:44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2:44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2:44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2:44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2:44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2:44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2:44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2:44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2:44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2:44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2:44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2:44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2:44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2:44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2:44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2:44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2:44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2:44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2:44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2:44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2:44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2:44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2:44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2:44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2:44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2:44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2:44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2:44" x14ac:dyDescent="0.25"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2:44" x14ac:dyDescent="0.25"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2:44" x14ac:dyDescent="0.25"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2:44" x14ac:dyDescent="0.25"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Victor alves da silva Alves</cp:lastModifiedBy>
  <dcterms:created xsi:type="dcterms:W3CDTF">2024-12-19T13:13:10Z</dcterms:created>
  <dcterms:modified xsi:type="dcterms:W3CDTF">2026-10-26T12:46:01Z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